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ym_jsx_client_proj\paodajiangshi_doc_proj\trunk\doc\Dev\DataConfig\China\"/>
    </mc:Choice>
  </mc:AlternateContent>
  <bookViews>
    <workbookView xWindow="-120" yWindow="-120" windowWidth="29040" windowHeight="15840" tabRatio="532" activeTab="1"/>
  </bookViews>
  <sheets>
    <sheet name="INDEX" sheetId="1" r:id="rId1"/>
    <sheet name="Stage_Level_stagechapter" sheetId="3" r:id="rId2"/>
    <sheet name="Stage_Level_chapter1" sheetId="4" r:id="rId3"/>
    <sheet name="Stage_Level_chapter2" sheetId="5" r:id="rId4"/>
    <sheet name="Stage_Level_chapter3" sheetId="7" r:id="rId5"/>
    <sheet name="Stage_Level_chapter4" sheetId="8" r:id="rId6"/>
    <sheet name="Stage_Level_chapter5" sheetId="9" r:id="rId7"/>
    <sheet name="Stage_Level_chapter6" sheetId="10" r:id="rId8"/>
    <sheet name="Stage_Level_chapter7" sheetId="11" r:id="rId9"/>
    <sheet name="Stage_Level_chapter8" sheetId="12" r:id="rId10"/>
    <sheet name="Stage_Level_chapter9" sheetId="13" r:id="rId11"/>
    <sheet name="Stage_Level_chapter10" sheetId="14" r:id="rId12"/>
    <sheet name="Stage_Level_chapter11" sheetId="15" r:id="rId13"/>
    <sheet name="Stage_Level_chapter12" sheetId="16" r:id="rId14"/>
    <sheet name="Stage_Level_chapter13" sheetId="17" r:id="rId15"/>
  </sheets>
  <functionGroups builtInGroupCount="18"/>
  <definedNames>
    <definedName name="_xlnm._FilterDatabase" localSheetId="0" hidden="1">INDEX!$A$2:$F$16</definedName>
    <definedName name="_xlnm._FilterDatabase" localSheetId="2" hidden="1">Stage_Level_chapter1!$B$1:$B$9</definedName>
    <definedName name="_xlnm._FilterDatabase" localSheetId="1" hidden="1">Stage_Level_stagechapter!$B$1:$B$10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A6" i="3" l="1"/>
  <c r="V19" i="11" l="1"/>
  <c r="V24" i="11" s="1"/>
  <c r="V29" i="11" s="1"/>
  <c r="V34" i="11" s="1"/>
  <c r="V39" i="11" s="1"/>
  <c r="V44" i="11" s="1"/>
  <c r="V49" i="11" s="1"/>
  <c r="V54" i="11" s="1"/>
  <c r="V59" i="11" s="1"/>
  <c r="V18" i="11"/>
  <c r="V23" i="11" s="1"/>
  <c r="V28" i="11" s="1"/>
  <c r="V33" i="11" s="1"/>
  <c r="V38" i="11" s="1"/>
  <c r="V43" i="11" s="1"/>
  <c r="V48" i="11" s="1"/>
  <c r="V53" i="11" s="1"/>
  <c r="V58" i="11" s="1"/>
  <c r="V17" i="11"/>
  <c r="V22" i="11" s="1"/>
  <c r="V27" i="11" s="1"/>
  <c r="V32" i="11" s="1"/>
  <c r="V37" i="11" s="1"/>
  <c r="V42" i="11" s="1"/>
  <c r="V47" i="11" s="1"/>
  <c r="V52" i="11" s="1"/>
  <c r="V57" i="11" s="1"/>
  <c r="V16" i="11"/>
  <c r="V21" i="11" s="1"/>
  <c r="V26" i="11" s="1"/>
  <c r="V31" i="11" s="1"/>
  <c r="V36" i="11" s="1"/>
  <c r="V41" i="11" s="1"/>
  <c r="V46" i="11" s="1"/>
  <c r="V51" i="11" s="1"/>
  <c r="V56" i="11" s="1"/>
  <c r="V15" i="11"/>
  <c r="V20" i="11" s="1"/>
  <c r="V25" i="11" s="1"/>
  <c r="V30" i="11" s="1"/>
  <c r="V35" i="11" s="1"/>
  <c r="V40" i="11" s="1"/>
  <c r="V45" i="11" s="1"/>
  <c r="V50" i="11" s="1"/>
  <c r="V55" i="11" s="1"/>
  <c r="Z6" i="3" l="1"/>
  <c r="V19" i="10" l="1"/>
  <c r="V24" i="10" s="1"/>
  <c r="V29" i="10" s="1"/>
  <c r="V34" i="10" s="1"/>
  <c r="V39" i="10" s="1"/>
  <c r="V44" i="10" s="1"/>
  <c r="V49" i="10" s="1"/>
  <c r="V54" i="10" s="1"/>
  <c r="V59" i="10" s="1"/>
  <c r="V18" i="10"/>
  <c r="V23" i="10" s="1"/>
  <c r="V28" i="10" s="1"/>
  <c r="V33" i="10" s="1"/>
  <c r="V38" i="10" s="1"/>
  <c r="V43" i="10" s="1"/>
  <c r="V48" i="10" s="1"/>
  <c r="V53" i="10" s="1"/>
  <c r="V58" i="10" s="1"/>
  <c r="V17" i="10"/>
  <c r="V22" i="10" s="1"/>
  <c r="V27" i="10" s="1"/>
  <c r="V32" i="10" s="1"/>
  <c r="V37" i="10" s="1"/>
  <c r="V42" i="10" s="1"/>
  <c r="V47" i="10" s="1"/>
  <c r="V52" i="10" s="1"/>
  <c r="V57" i="10" s="1"/>
  <c r="V16" i="10"/>
  <c r="V21" i="10" s="1"/>
  <c r="V26" i="10" s="1"/>
  <c r="V31" i="10" s="1"/>
  <c r="V36" i="10" s="1"/>
  <c r="V41" i="10" s="1"/>
  <c r="V46" i="10" s="1"/>
  <c r="V51" i="10" s="1"/>
  <c r="V56" i="10" s="1"/>
  <c r="V15" i="10"/>
  <c r="V20" i="10" s="1"/>
  <c r="V25" i="10" s="1"/>
  <c r="V30" i="10" s="1"/>
  <c r="V35" i="10" s="1"/>
  <c r="V40" i="10" s="1"/>
  <c r="V45" i="10" s="1"/>
  <c r="V50" i="10" s="1"/>
  <c r="V55" i="10" s="1"/>
  <c r="V13" i="7"/>
  <c r="V15" i="7" s="1"/>
  <c r="V17" i="7" s="1"/>
  <c r="V19" i="7" s="1"/>
  <c r="V21" i="7" s="1"/>
  <c r="V23" i="7" s="1"/>
  <c r="V25" i="7" s="1"/>
  <c r="V27" i="7" s="1"/>
  <c r="V29" i="7" s="1"/>
  <c r="V12" i="7"/>
  <c r="V14" i="7" s="1"/>
  <c r="V16" i="7" s="1"/>
  <c r="V18" i="7" s="1"/>
  <c r="V20" i="7" s="1"/>
  <c r="V22" i="7" s="1"/>
  <c r="V24" i="7" s="1"/>
  <c r="V26" i="7" s="1"/>
  <c r="V28" i="7" s="1"/>
  <c r="V19" i="9"/>
  <c r="V24" i="9" s="1"/>
  <c r="V29" i="9" s="1"/>
  <c r="V34" i="9" s="1"/>
  <c r="V39" i="9" s="1"/>
  <c r="V44" i="9" s="1"/>
  <c r="V49" i="9" s="1"/>
  <c r="V54" i="9" s="1"/>
  <c r="V59" i="9" s="1"/>
  <c r="V18" i="9"/>
  <c r="V23" i="9" s="1"/>
  <c r="V28" i="9" s="1"/>
  <c r="V33" i="9" s="1"/>
  <c r="V38" i="9" s="1"/>
  <c r="V43" i="9" s="1"/>
  <c r="V48" i="9" s="1"/>
  <c r="V53" i="9" s="1"/>
  <c r="V58" i="9" s="1"/>
  <c r="V17" i="9"/>
  <c r="V22" i="9" s="1"/>
  <c r="V27" i="9" s="1"/>
  <c r="V32" i="9" s="1"/>
  <c r="V37" i="9" s="1"/>
  <c r="V42" i="9" s="1"/>
  <c r="V47" i="9" s="1"/>
  <c r="V52" i="9" s="1"/>
  <c r="V57" i="9" s="1"/>
  <c r="V16" i="9"/>
  <c r="V21" i="9" s="1"/>
  <c r="V26" i="9" s="1"/>
  <c r="V31" i="9" s="1"/>
  <c r="V36" i="9" s="1"/>
  <c r="V41" i="9" s="1"/>
  <c r="V46" i="9" s="1"/>
  <c r="V51" i="9" s="1"/>
  <c r="V56" i="9" s="1"/>
  <c r="V15" i="9"/>
  <c r="V20" i="9" s="1"/>
  <c r="V25" i="9" s="1"/>
  <c r="V30" i="9" s="1"/>
  <c r="V35" i="9" s="1"/>
  <c r="V40" i="9" s="1"/>
  <c r="V45" i="9" s="1"/>
  <c r="V50" i="9" s="1"/>
  <c r="V55" i="9" s="1"/>
  <c r="V19" i="8"/>
  <c r="V24" i="8" s="1"/>
  <c r="V29" i="8" s="1"/>
  <c r="V34" i="8" s="1"/>
  <c r="V39" i="8" s="1"/>
  <c r="V44" i="8" s="1"/>
  <c r="V49" i="8" s="1"/>
  <c r="V54" i="8" s="1"/>
  <c r="V59" i="8" s="1"/>
  <c r="V18" i="8"/>
  <c r="V23" i="8" s="1"/>
  <c r="V28" i="8" s="1"/>
  <c r="V33" i="8" s="1"/>
  <c r="V38" i="8" s="1"/>
  <c r="V43" i="8" s="1"/>
  <c r="V48" i="8" s="1"/>
  <c r="V53" i="8" s="1"/>
  <c r="V58" i="8" s="1"/>
  <c r="V17" i="8"/>
  <c r="V22" i="8" s="1"/>
  <c r="V27" i="8" s="1"/>
  <c r="V32" i="8" s="1"/>
  <c r="V37" i="8" s="1"/>
  <c r="V42" i="8" s="1"/>
  <c r="V47" i="8" s="1"/>
  <c r="V52" i="8" s="1"/>
  <c r="V57" i="8" s="1"/>
  <c r="V16" i="8"/>
  <c r="V21" i="8" s="1"/>
  <c r="V26" i="8" s="1"/>
  <c r="V31" i="8" s="1"/>
  <c r="V36" i="8" s="1"/>
  <c r="V41" i="8" s="1"/>
  <c r="V46" i="8" s="1"/>
  <c r="V51" i="8" s="1"/>
  <c r="V56" i="8" s="1"/>
  <c r="V15" i="8"/>
  <c r="V20" i="8" s="1"/>
  <c r="V25" i="8" s="1"/>
  <c r="V30" i="8" s="1"/>
  <c r="V35" i="8" s="1"/>
  <c r="V40" i="8" s="1"/>
  <c r="V45" i="8" s="1"/>
  <c r="V50" i="8" s="1"/>
  <c r="V55" i="8" s="1"/>
  <c r="V19" i="5"/>
  <c r="V24" i="5" s="1"/>
  <c r="V29" i="5" s="1"/>
  <c r="V34" i="5" s="1"/>
  <c r="V39" i="5" s="1"/>
  <c r="V44" i="5" s="1"/>
  <c r="V49" i="5" s="1"/>
  <c r="V54" i="5" s="1"/>
  <c r="V59" i="5" s="1"/>
  <c r="V18" i="5"/>
  <c r="V23" i="5" s="1"/>
  <c r="V28" i="5" s="1"/>
  <c r="V33" i="5" s="1"/>
  <c r="V38" i="5" s="1"/>
  <c r="V43" i="5" s="1"/>
  <c r="V48" i="5" s="1"/>
  <c r="V53" i="5" s="1"/>
  <c r="V58" i="5" s="1"/>
  <c r="V17" i="5"/>
  <c r="V22" i="5" s="1"/>
  <c r="V27" i="5" s="1"/>
  <c r="V32" i="5" s="1"/>
  <c r="V37" i="5" s="1"/>
  <c r="V42" i="5" s="1"/>
  <c r="V47" i="5" s="1"/>
  <c r="V52" i="5" s="1"/>
  <c r="V57" i="5" s="1"/>
  <c r="V16" i="5"/>
  <c r="V21" i="5" s="1"/>
  <c r="V26" i="5" s="1"/>
  <c r="V31" i="5" s="1"/>
  <c r="V36" i="5" s="1"/>
  <c r="V41" i="5" s="1"/>
  <c r="V46" i="5" s="1"/>
  <c r="V51" i="5" s="1"/>
  <c r="V56" i="5" s="1"/>
  <c r="V15" i="5"/>
  <c r="V20" i="5" s="1"/>
  <c r="V25" i="5" s="1"/>
  <c r="V30" i="5" s="1"/>
  <c r="V35" i="5" s="1"/>
  <c r="V40" i="5" s="1"/>
  <c r="V45" i="5" s="1"/>
  <c r="V50" i="5" s="1"/>
  <c r="V55" i="5" s="1"/>
  <c r="V16" i="4"/>
  <c r="V21" i="4" s="1"/>
  <c r="V26" i="4" s="1"/>
  <c r="V31" i="4" s="1"/>
  <c r="V36" i="4" s="1"/>
  <c r="V41" i="4" s="1"/>
  <c r="V46" i="4" s="1"/>
  <c r="V51" i="4" s="1"/>
  <c r="V56" i="4" s="1"/>
  <c r="V17" i="4"/>
  <c r="V22" i="4" s="1"/>
  <c r="V27" i="4" s="1"/>
  <c r="V32" i="4" s="1"/>
  <c r="V37" i="4" s="1"/>
  <c r="V42" i="4" s="1"/>
  <c r="V47" i="4" s="1"/>
  <c r="V52" i="4" s="1"/>
  <c r="V57" i="4" s="1"/>
  <c r="V18" i="4"/>
  <c r="V19" i="4"/>
  <c r="V24" i="4" s="1"/>
  <c r="V29" i="4" s="1"/>
  <c r="V34" i="4" s="1"/>
  <c r="V39" i="4" s="1"/>
  <c r="V44" i="4" s="1"/>
  <c r="V49" i="4" s="1"/>
  <c r="V54" i="4" s="1"/>
  <c r="V59" i="4" s="1"/>
  <c r="V23" i="4"/>
  <c r="V28" i="4" s="1"/>
  <c r="V33" i="4" s="1"/>
  <c r="V38" i="4" s="1"/>
  <c r="V43" i="4" s="1"/>
  <c r="V48" i="4" s="1"/>
  <c r="V53" i="4" s="1"/>
  <c r="V58" i="4" s="1"/>
  <c r="V15" i="4"/>
  <c r="V20" i="4" s="1"/>
  <c r="V25" i="4" s="1"/>
  <c r="V30" i="4" s="1"/>
  <c r="V35" i="4" s="1"/>
  <c r="V40" i="4" s="1"/>
  <c r="V45" i="4" s="1"/>
  <c r="V50" i="4" s="1"/>
  <c r="V55" i="4" s="1"/>
  <c r="M6" i="4" l="1"/>
  <c r="V6" i="17"/>
  <c r="V6" i="16"/>
  <c r="V6" i="15"/>
  <c r="V6" i="14"/>
  <c r="V6" i="13"/>
  <c r="V6" i="12"/>
  <c r="V6" i="11"/>
  <c r="V6" i="10"/>
  <c r="V6" i="9"/>
  <c r="V6" i="8"/>
  <c r="V6" i="7"/>
  <c r="V6" i="5"/>
  <c r="V6" i="4"/>
  <c r="O6" i="4"/>
  <c r="U6" i="17" l="1"/>
  <c r="U6" i="16"/>
  <c r="U6" i="15"/>
  <c r="U6" i="14"/>
  <c r="U6" i="13"/>
  <c r="U6" i="12"/>
  <c r="U6" i="11"/>
  <c r="U6" i="10"/>
  <c r="U6" i="9"/>
  <c r="U6" i="8"/>
  <c r="U6" i="7"/>
  <c r="U6" i="5"/>
  <c r="U6" i="4"/>
  <c r="T6" i="7" l="1"/>
  <c r="S6" i="7"/>
  <c r="T6" i="17" l="1"/>
  <c r="S6" i="17"/>
  <c r="R6" i="17"/>
  <c r="Q6" i="17"/>
  <c r="P6" i="17"/>
  <c r="O6" i="17"/>
  <c r="N6" i="17"/>
  <c r="M6" i="17"/>
  <c r="L6" i="17"/>
  <c r="K6" i="17"/>
  <c r="J6" i="17"/>
  <c r="I6" i="17"/>
  <c r="H6" i="17"/>
  <c r="G6" i="17"/>
  <c r="F6" i="17"/>
  <c r="E6" i="17"/>
  <c r="D6" i="17"/>
  <c r="C6" i="17"/>
  <c r="B5" i="17"/>
  <c r="B6" i="17" s="1"/>
  <c r="T6" i="16"/>
  <c r="S6" i="16"/>
  <c r="R6" i="16"/>
  <c r="Q6" i="16"/>
  <c r="P6" i="16"/>
  <c r="O6" i="16"/>
  <c r="N6" i="16"/>
  <c r="M6" i="16"/>
  <c r="L6" i="16"/>
  <c r="K6" i="16"/>
  <c r="J6" i="16"/>
  <c r="I6" i="16"/>
  <c r="H6" i="16"/>
  <c r="G6" i="16"/>
  <c r="F6" i="16"/>
  <c r="E6" i="16"/>
  <c r="D6" i="16"/>
  <c r="C6" i="16"/>
  <c r="B5" i="16"/>
  <c r="B6" i="16" s="1"/>
  <c r="T6" i="15"/>
  <c r="S6" i="15"/>
  <c r="R6" i="15"/>
  <c r="Q6" i="15"/>
  <c r="P6" i="15"/>
  <c r="O6" i="15"/>
  <c r="N6" i="15"/>
  <c r="M6" i="15"/>
  <c r="L6" i="15"/>
  <c r="K6" i="15"/>
  <c r="J6" i="15"/>
  <c r="I6" i="15"/>
  <c r="H6" i="15"/>
  <c r="G6" i="15"/>
  <c r="F6" i="15"/>
  <c r="E6" i="15"/>
  <c r="D6" i="15"/>
  <c r="C6" i="15"/>
  <c r="B5" i="15"/>
  <c r="B6" i="15" s="1"/>
  <c r="T6" i="14"/>
  <c r="S6" i="14"/>
  <c r="R6" i="14"/>
  <c r="Q6" i="14"/>
  <c r="P6" i="14"/>
  <c r="O6" i="14"/>
  <c r="N6" i="14"/>
  <c r="M6" i="14"/>
  <c r="L6" i="14"/>
  <c r="K6" i="14"/>
  <c r="J6" i="14"/>
  <c r="I6" i="14"/>
  <c r="H6" i="14"/>
  <c r="G6" i="14"/>
  <c r="F6" i="14"/>
  <c r="E6" i="14"/>
  <c r="D6" i="14"/>
  <c r="C6" i="14"/>
  <c r="B5" i="14"/>
  <c r="B6" i="14" s="1"/>
  <c r="T6" i="13"/>
  <c r="S6" i="13"/>
  <c r="R6" i="13"/>
  <c r="Q6" i="13"/>
  <c r="P6" i="13"/>
  <c r="O6" i="13"/>
  <c r="N6" i="13"/>
  <c r="M6" i="13"/>
  <c r="L6" i="13"/>
  <c r="K6" i="13"/>
  <c r="J6" i="13"/>
  <c r="I6" i="13"/>
  <c r="H6" i="13"/>
  <c r="G6" i="13"/>
  <c r="F6" i="13"/>
  <c r="E6" i="13"/>
  <c r="D6" i="13"/>
  <c r="C6" i="13"/>
  <c r="B5" i="13"/>
  <c r="B6" i="13" s="1"/>
  <c r="T6" i="12"/>
  <c r="S6" i="12"/>
  <c r="R6" i="12"/>
  <c r="Q6" i="12"/>
  <c r="P6" i="12"/>
  <c r="O6" i="12"/>
  <c r="N6" i="12"/>
  <c r="M6" i="12"/>
  <c r="L6" i="12"/>
  <c r="K6" i="12"/>
  <c r="J6" i="12"/>
  <c r="I6" i="12"/>
  <c r="H6" i="12"/>
  <c r="G6" i="12"/>
  <c r="F6" i="12"/>
  <c r="E6" i="12"/>
  <c r="D6" i="12"/>
  <c r="C6" i="12"/>
  <c r="B5" i="12"/>
  <c r="B6" i="12" s="1"/>
  <c r="T6" i="11"/>
  <c r="S6" i="11"/>
  <c r="R6" i="11"/>
  <c r="Q6" i="11"/>
  <c r="P6" i="11"/>
  <c r="O6" i="11"/>
  <c r="N6" i="11"/>
  <c r="M6" i="11"/>
  <c r="L6" i="11"/>
  <c r="K6" i="11"/>
  <c r="J6" i="11"/>
  <c r="I6" i="11"/>
  <c r="H6" i="11"/>
  <c r="G6" i="11"/>
  <c r="F6" i="11"/>
  <c r="E6" i="11"/>
  <c r="D6" i="11"/>
  <c r="C6" i="11"/>
  <c r="B5" i="11"/>
  <c r="B6" i="11" s="1"/>
  <c r="T6" i="10"/>
  <c r="S6" i="10"/>
  <c r="R6" i="10"/>
  <c r="Q6" i="10"/>
  <c r="P6" i="10"/>
  <c r="O6" i="10"/>
  <c r="N6" i="10"/>
  <c r="M6" i="10"/>
  <c r="L6" i="10"/>
  <c r="K6" i="10"/>
  <c r="J6" i="10"/>
  <c r="I6" i="10"/>
  <c r="H6" i="10"/>
  <c r="G6" i="10"/>
  <c r="F6" i="10"/>
  <c r="E6" i="10"/>
  <c r="D6" i="10"/>
  <c r="C6" i="10"/>
  <c r="B5" i="10"/>
  <c r="B6" i="10" s="1"/>
  <c r="T6" i="9"/>
  <c r="S6" i="9"/>
  <c r="R6" i="9"/>
  <c r="Q6" i="9"/>
  <c r="P6" i="9"/>
  <c r="O6" i="9"/>
  <c r="N6" i="9"/>
  <c r="M6" i="9"/>
  <c r="L6" i="9"/>
  <c r="K6" i="9"/>
  <c r="J6" i="9"/>
  <c r="I6" i="9"/>
  <c r="H6" i="9"/>
  <c r="G6" i="9"/>
  <c r="F6" i="9"/>
  <c r="D6" i="9"/>
  <c r="C6" i="9"/>
  <c r="B5" i="9"/>
  <c r="B6" i="9" s="1"/>
  <c r="T6" i="8"/>
  <c r="S6" i="8"/>
  <c r="R6" i="8"/>
  <c r="Q6" i="8"/>
  <c r="P6" i="8"/>
  <c r="O6" i="8"/>
  <c r="N6" i="8"/>
  <c r="M6" i="8"/>
  <c r="L6" i="8"/>
  <c r="K6" i="8"/>
  <c r="J6" i="8"/>
  <c r="I6" i="8"/>
  <c r="H6" i="8"/>
  <c r="G6" i="8"/>
  <c r="F6" i="8"/>
  <c r="D6" i="8"/>
  <c r="C6" i="8"/>
  <c r="B5" i="8"/>
  <c r="B6" i="8" s="1"/>
  <c r="R6" i="7"/>
  <c r="Q6" i="7"/>
  <c r="P6" i="7"/>
  <c r="O6" i="7"/>
  <c r="N6" i="7"/>
  <c r="M6" i="7"/>
  <c r="L6" i="7"/>
  <c r="K6" i="7"/>
  <c r="J6" i="7"/>
  <c r="I6" i="7"/>
  <c r="H6" i="7"/>
  <c r="G6" i="7"/>
  <c r="F6" i="7"/>
  <c r="E6" i="7"/>
  <c r="D6" i="7"/>
  <c r="C6" i="7"/>
  <c r="B5" i="7"/>
  <c r="B6" i="7" s="1"/>
  <c r="T6" i="5"/>
  <c r="S6" i="5"/>
  <c r="R6" i="5"/>
  <c r="Q6" i="5"/>
  <c r="P6" i="5"/>
  <c r="O6" i="5"/>
  <c r="N6" i="5"/>
  <c r="M6" i="5"/>
  <c r="L6" i="5"/>
  <c r="K6" i="5"/>
  <c r="J6" i="5"/>
  <c r="I6" i="5"/>
  <c r="H6" i="5"/>
  <c r="G6" i="5"/>
  <c r="F6" i="5"/>
  <c r="D6" i="5"/>
  <c r="C6" i="5"/>
  <c r="B5" i="5"/>
  <c r="B6" i="5" s="1"/>
  <c r="T6" i="4"/>
  <c r="S6" i="4"/>
  <c r="R6" i="4"/>
  <c r="Q6" i="4"/>
  <c r="P6" i="4"/>
  <c r="N6" i="4"/>
  <c r="L6" i="4"/>
  <c r="K6" i="4"/>
  <c r="J6" i="4"/>
  <c r="I6" i="4"/>
  <c r="H6" i="4"/>
  <c r="G6" i="4"/>
  <c r="F6" i="4"/>
  <c r="D6" i="4"/>
  <c r="C6" i="4"/>
  <c r="B5" i="4"/>
  <c r="B6" i="4" s="1"/>
  <c r="Y6" i="3"/>
  <c r="X6" i="3"/>
  <c r="W6" i="3"/>
  <c r="V6" i="3"/>
  <c r="U6" i="3"/>
  <c r="T6" i="3"/>
  <c r="S6" i="3"/>
  <c r="R6" i="3"/>
  <c r="Q6" i="3"/>
  <c r="P6" i="3"/>
  <c r="O6" i="3"/>
  <c r="N6" i="3"/>
  <c r="M6" i="3"/>
  <c r="L6" i="3"/>
  <c r="K6" i="3"/>
  <c r="J6" i="3"/>
  <c r="I6" i="3"/>
  <c r="H6" i="3"/>
  <c r="G6" i="3"/>
  <c r="F6" i="3"/>
  <c r="E6" i="3"/>
  <c r="D5" i="3"/>
  <c r="D6" i="3" s="1"/>
  <c r="C5" i="3"/>
  <c r="C6" i="3" s="1"/>
  <c r="B5" i="3"/>
  <c r="B6" i="3" s="1"/>
</calcChain>
</file>

<file path=xl/sharedStrings.xml><?xml version="1.0" encoding="utf-8"?>
<sst xmlns="http://schemas.openxmlformats.org/spreadsheetml/2006/main" count="5807" uniqueCount="1261">
  <si>
    <t>1至100之和：</t>
  </si>
  <si>
    <t>全部导出</t>
  </si>
  <si>
    <t>导出者</t>
  </si>
  <si>
    <t>Count</t>
  </si>
  <si>
    <t>SheetName</t>
  </si>
  <si>
    <t>TargetDIR</t>
  </si>
  <si>
    <t>StringDIR</t>
  </si>
  <si>
    <t>注释</t>
  </si>
  <si>
    <r>
      <rPr>
        <sz val="11"/>
        <color indexed="8"/>
        <rFont val="微软雅黑"/>
        <family val="2"/>
        <charset val="134"/>
      </rPr>
      <t>D</t>
    </r>
    <r>
      <rPr>
        <sz val="11"/>
        <color indexed="8"/>
        <rFont val="微软雅黑"/>
        <family val="2"/>
        <charset val="134"/>
      </rPr>
      <t>efault</t>
    </r>
  </si>
  <si>
    <t>Stage_Level_stagechapter</t>
  </si>
  <si>
    <t>..\..\DataServer\China\</t>
  </si>
  <si>
    <t>关卡章</t>
  </si>
  <si>
    <t>Stage_Level_chapter1</t>
  </si>
  <si>
    <t>第一章关卡</t>
  </si>
  <si>
    <t>Stage_Level_chapter2</t>
  </si>
  <si>
    <t>第二章关卡</t>
  </si>
  <si>
    <t>Stage_Level_chapter3</t>
  </si>
  <si>
    <t>第三章关卡</t>
  </si>
  <si>
    <t>Stage_Level_chapter4</t>
  </si>
  <si>
    <t>第四章关卡</t>
  </si>
  <si>
    <t>Stage_Level_chapter5</t>
  </si>
  <si>
    <t>第五章关卡</t>
  </si>
  <si>
    <t>Stage_Level_chapter6</t>
  </si>
  <si>
    <t>第六章关卡</t>
  </si>
  <si>
    <t>Stage_Level_chapter7</t>
  </si>
  <si>
    <t>第七章关卡</t>
  </si>
  <si>
    <t>Stage_Level_chapter8</t>
  </si>
  <si>
    <t>第八章关卡</t>
  </si>
  <si>
    <t>Stage_Level_chapter9</t>
  </si>
  <si>
    <t>第九章关卡</t>
  </si>
  <si>
    <t>Stage_Level_chapter10</t>
  </si>
  <si>
    <t>第十章关卡</t>
  </si>
  <si>
    <t>Stage_Level_chapter11</t>
  </si>
  <si>
    <t>第十一章关卡</t>
  </si>
  <si>
    <t>Stage_Level_chapter12</t>
  </si>
  <si>
    <t>第十二章关卡</t>
  </si>
  <si>
    <t>Stage_Level_chapter13</t>
  </si>
  <si>
    <t>第十三章关卡</t>
  </si>
  <si>
    <t>导出/server</t>
  </si>
  <si>
    <t>*</t>
  </si>
  <si>
    <t>client</t>
  </si>
  <si>
    <t>INT</t>
  </si>
  <si>
    <t>STRING</t>
  </si>
  <si>
    <t>ID</t>
  </si>
  <si>
    <t>Notes</t>
  </si>
  <si>
    <t>TiledID</t>
  </si>
  <si>
    <t>GameType</t>
  </si>
  <si>
    <t>GameArgs</t>
  </si>
  <si>
    <t>StyleSequence</t>
  </si>
  <si>
    <t>StageLevel</t>
  </si>
  <si>
    <t>OpenCondition</t>
  </si>
  <si>
    <t>ArgsOpen</t>
  </si>
  <si>
    <t>GoldRate</t>
  </si>
  <si>
    <t>EquipDropID</t>
  </si>
  <si>
    <t>EquipProb</t>
  </si>
  <si>
    <t>IntegralRate</t>
  </si>
  <si>
    <t>GoldBase</t>
  </si>
  <si>
    <t>ExpBase</t>
  </si>
  <si>
    <t>GoldTurn</t>
  </si>
  <si>
    <t>DropAddCond</t>
  </si>
  <si>
    <t>DropAddProb</t>
  </si>
  <si>
    <t>AdProb</t>
  </si>
  <si>
    <t>AdTurn</t>
  </si>
  <si>
    <t>ScrollRate</t>
  </si>
  <si>
    <t>ScrollRateBoss</t>
  </si>
  <si>
    <t>MaxReviviTimes</t>
  </si>
  <si>
    <t>Entrancelimit</t>
  </si>
  <si>
    <t>i</t>
  </si>
  <si>
    <t>s</t>
  </si>
  <si>
    <t>章id</t>
  </si>
  <si>
    <t>描述</t>
  </si>
  <si>
    <t>地图id</t>
  </si>
  <si>
    <t>游戏类型</t>
  </si>
  <si>
    <t>类型参数</t>
  </si>
  <si>
    <t>场景地形</t>
  </si>
  <si>
    <t>基础金币</t>
  </si>
  <si>
    <t>基础经验</t>
  </si>
  <si>
    <t>转盘金币</t>
  </si>
  <si>
    <t>默认值</t>
  </si>
  <si>
    <t>1|1</t>
  </si>
  <si>
    <t>游戏类型为1:时：
怪物波数|刷怪间隔|boss波数|boss间隔</t>
  </si>
  <si>
    <t>最大复活次数</t>
  </si>
  <si>
    <t>本章节的等级限制
1.等级</t>
  </si>
  <si>
    <t>101</t>
  </si>
  <si>
    <t>第1章</t>
  </si>
  <si>
    <t>1</t>
  </si>
  <si>
    <t>0</t>
  </si>
  <si>
    <t>0103|0102|0101</t>
  </si>
  <si>
    <t>301</t>
  </si>
  <si>
    <t>30</t>
  </si>
  <si>
    <t>1;300|1;400|1;500|2;10|2;10|2;20</t>
  </si>
  <si>
    <t>0;99;0;0|1;1;1;1</t>
  </si>
  <si>
    <t>0;50;0;0|1;50;1;1</t>
  </si>
  <si>
    <t>1|0</t>
  </si>
  <si>
    <t>102</t>
  </si>
  <si>
    <t>第2章</t>
  </si>
  <si>
    <t>2</t>
  </si>
  <si>
    <t>0201|0202|0203</t>
  </si>
  <si>
    <t>50</t>
  </si>
  <si>
    <t>302</t>
  </si>
  <si>
    <t>1.100000023841858</t>
  </si>
  <si>
    <t>1;300|1;300|1;300|1;400|1;400|1;600</t>
  </si>
  <si>
    <t>4|8</t>
  </si>
  <si>
    <t>1;400|1;600|1;800|2;10|2;10|2;20</t>
  </si>
  <si>
    <t>0;98;0;0|1;2;1;1</t>
  </si>
  <si>
    <t>0;50;0;0|1;50;1;2</t>
  </si>
  <si>
    <t>103</t>
  </si>
  <si>
    <t>第3章</t>
  </si>
  <si>
    <t>3</t>
  </si>
  <si>
    <t>5|15|1|30</t>
  </si>
  <si>
    <t>0301|0302|0303</t>
  </si>
  <si>
    <t>303</t>
  </si>
  <si>
    <t>1.2000000476837158</t>
  </si>
  <si>
    <t>1;600|1;600|1;600|1;800|1;800|1;1200</t>
  </si>
  <si>
    <t>21|40</t>
  </si>
  <si>
    <t>1;600|1;800|1;1000|2;10|2;10|2;20</t>
  </si>
  <si>
    <t>0;98;0;0|1;2;2;2</t>
  </si>
  <si>
    <t>0;60;0;0|1;40;2;2</t>
  </si>
  <si>
    <t>104</t>
  </si>
  <si>
    <t>第4章</t>
  </si>
  <si>
    <t>4</t>
  </si>
  <si>
    <t>0401|0402|0403</t>
  </si>
  <si>
    <t>20</t>
  </si>
  <si>
    <t>304</t>
  </si>
  <si>
    <t>1.3200000524520874</t>
  </si>
  <si>
    <t>1;900|1;900|1;900|1;1200|1;1200|1;1800</t>
  </si>
  <si>
    <t>1;800|1;1000|1;1200|2;10|2;10|2;20</t>
  </si>
  <si>
    <t>0;98;0;0|1;2;3;3</t>
  </si>
  <si>
    <t>0;70;0;0|1;30;2;3</t>
  </si>
  <si>
    <t>105</t>
  </si>
  <si>
    <t>第5章</t>
  </si>
  <si>
    <t>5</t>
  </si>
  <si>
    <t>0501|0502|0503</t>
  </si>
  <si>
    <t>305</t>
  </si>
  <si>
    <t>1.600000023841858</t>
  </si>
  <si>
    <t>1;1200|1;1200|1;1200|1;1600|1;1600|1;2400</t>
  </si>
  <si>
    <t>1;1000|1;1300|1;1600|2;10|2;10|2;20</t>
  </si>
  <si>
    <t>0;98;0;0|1;2;3;4</t>
  </si>
  <si>
    <t>0;70;0;0|1;30;3;3</t>
  </si>
  <si>
    <t>106</t>
  </si>
  <si>
    <t>第6章</t>
  </si>
  <si>
    <t>6</t>
  </si>
  <si>
    <t>0601|0602|0603</t>
  </si>
  <si>
    <t>306</t>
  </si>
  <si>
    <t>1.850000023841858</t>
  </si>
  <si>
    <t>1;1500|1;1500|1;1500|1;2000|1;2000|1;3000</t>
  </si>
  <si>
    <t>1;1400|1;1700|1;2000|2;10|2;10|2;20</t>
  </si>
  <si>
    <t>0;98;0;0|1;2;4;4</t>
  </si>
  <si>
    <t>0;70;0;0|1;30;3;4</t>
  </si>
  <si>
    <t>107</t>
  </si>
  <si>
    <t>第7章</t>
  </si>
  <si>
    <t>7</t>
  </si>
  <si>
    <t>307</t>
  </si>
  <si>
    <t>40</t>
  </si>
  <si>
    <t>8.699999809265137</t>
  </si>
  <si>
    <t>1;1800|1;1800|1;1800|1;2400|1;2400|1;3500</t>
  </si>
  <si>
    <t>1;1800|1;2200|1;2600|2;10|2;10|2;20</t>
  </si>
  <si>
    <t>0;100;0;0</t>
  </si>
  <si>
    <t>1;20;2;2|1;80;3;3</t>
  </si>
  <si>
    <t>108</t>
  </si>
  <si>
    <t>第8章</t>
  </si>
  <si>
    <t>8</t>
  </si>
  <si>
    <t>10</t>
  </si>
  <si>
    <t>308</t>
  </si>
  <si>
    <t>2.299999952316284</t>
  </si>
  <si>
    <t>1;2200|1;2200|1;2200|1;2800|1;2800|1;4000</t>
  </si>
  <si>
    <t>1;2200|1;2600|1;3000|2;10|2;10|2;20</t>
  </si>
  <si>
    <t>0;98;0;0|1;2;4;6</t>
  </si>
  <si>
    <t>0;70;0;0|1;30;4;6</t>
  </si>
  <si>
    <t>109</t>
  </si>
  <si>
    <t>第9章</t>
  </si>
  <si>
    <t>9</t>
  </si>
  <si>
    <t>0501|0502</t>
  </si>
  <si>
    <t>309</t>
  </si>
  <si>
    <t>3.200000047683716</t>
  </si>
  <si>
    <t>1;2600|1;2600|1;2600|1;3200|1;3200|1;4800</t>
  </si>
  <si>
    <t>1;2600|1;3000|1;3400|2;10|2;10|2;20</t>
  </si>
  <si>
    <t>0;98;0;0|1;2;5;7</t>
  </si>
  <si>
    <t>0;70;0;0|1;30;5;7</t>
  </si>
  <si>
    <t>110</t>
  </si>
  <si>
    <t>第10章</t>
  </si>
  <si>
    <t>0601|0602</t>
  </si>
  <si>
    <t>310</t>
  </si>
  <si>
    <t>4.900000095367432</t>
  </si>
  <si>
    <t>1;3000|1;3000|1;3000|1;3700|1;3700|1;5500</t>
  </si>
  <si>
    <t>1;3000|1;3500|1;4000|2;10|2;10|2;20</t>
  </si>
  <si>
    <t>0;98;0;0|1;2;6;8</t>
  </si>
  <si>
    <t>0;70;0;0|1;30;6;7</t>
  </si>
  <si>
    <t>RoomID</t>
  </si>
  <si>
    <t>Attributes</t>
  </si>
  <si>
    <t>MapAttributes</t>
  </si>
  <si>
    <t>StandardDefence</t>
  </si>
  <si>
    <t>RoomIDs</t>
  </si>
  <si>
    <t>RoomIDs1</t>
  </si>
  <si>
    <t>CheatValue</t>
  </si>
  <si>
    <t>BattleValue</t>
  </si>
  <si>
    <t>GoldAdd</t>
  </si>
  <si>
    <t>ExpAdd</t>
  </si>
  <si>
    <t>AwardHero</t>
  </si>
  <si>
    <t>OutPut</t>
  </si>
  <si>
    <t>DropCount</t>
  </si>
  <si>
    <t>CatchTime</t>
  </si>
  <si>
    <t>CatchProb</t>
  </si>
  <si>
    <t>FirstOutPut</t>
  </si>
  <si>
    <t>FirstExpAdd</t>
  </si>
  <si>
    <t>sAttributes</t>
  </si>
  <si>
    <t>索引</t>
  </si>
  <si>
    <t>房间id</t>
  </si>
  <si>
    <t>备注</t>
  </si>
  <si>
    <t>怪物属性系数</t>
  </si>
  <si>
    <t>机关属性系数</t>
  </si>
  <si>
    <t>房间序列（随机序列，随机后会抽出序列中不再随机到）</t>
  </si>
  <si>
    <t>房间序列1（暂不清晰作用）</t>
  </si>
  <si>
    <t>外挂系数</t>
  </si>
  <si>
    <t>战力变化系数</t>
  </si>
  <si>
    <t>每层金币</t>
  </si>
  <si>
    <t>每层经验</t>
  </si>
  <si>
    <t>奖励英雄</t>
  </si>
  <si>
    <t>物品掉落</t>
  </si>
  <si>
    <t>掉落次数上限(防发包)</t>
  </si>
  <si>
    <t>抓捕条件：时间</t>
  </si>
  <si>
    <t>捕捉概率</t>
  </si>
  <si>
    <t>首次物品掉落</t>
  </si>
  <si>
    <t>首次每层经验</t>
  </si>
  <si>
    <t>基数10000</t>
  </si>
  <si>
    <t>抽取概率;Drop表ID|抽取概率；Drop表ID</t>
  </si>
  <si>
    <t>怪物捕捉条件：时间</t>
  </si>
  <si>
    <t>概率，万分比</t>
  </si>
  <si>
    <t>101001</t>
  </si>
  <si>
    <t>TrapHit% - 25</t>
  </si>
  <si>
    <t>101002</t>
  </si>
  <si>
    <t>101003</t>
  </si>
  <si>
    <t>101004</t>
  </si>
  <si>
    <t>101005</t>
  </si>
  <si>
    <t>Level_E_2001|Level_E_2002|Level_E_2003|Level_E_2004|Level_E_2005|Level_E_2006|Level_E_2007|Level_E_2008|Level_E_2009|Level_E_2010</t>
  </si>
  <si>
    <t>101006</t>
  </si>
  <si>
    <t>101007</t>
  </si>
  <si>
    <t>101008</t>
  </si>
  <si>
    <t>101009</t>
  </si>
  <si>
    <t>101010</t>
  </si>
  <si>
    <t>101011</t>
  </si>
  <si>
    <t>TrapHit% + 0</t>
  </si>
  <si>
    <t>101012</t>
  </si>
  <si>
    <t>101013</t>
  </si>
  <si>
    <t>101014</t>
  </si>
  <si>
    <t>101015</t>
  </si>
  <si>
    <t>101016</t>
  </si>
  <si>
    <t>101017</t>
  </si>
  <si>
    <t>101018</t>
  </si>
  <si>
    <t>101019</t>
  </si>
  <si>
    <t>101020</t>
  </si>
  <si>
    <t>101021</t>
  </si>
  <si>
    <t>101022</t>
  </si>
  <si>
    <t>101023</t>
  </si>
  <si>
    <t>101024</t>
  </si>
  <si>
    <t>101025</t>
  </si>
  <si>
    <t>101026</t>
  </si>
  <si>
    <t>TrapHit% + 25</t>
  </si>
  <si>
    <t>101027</t>
  </si>
  <si>
    <t>101028</t>
  </si>
  <si>
    <t>101029</t>
  </si>
  <si>
    <t>101030</t>
  </si>
  <si>
    <t>101031</t>
  </si>
  <si>
    <t>101032</t>
  </si>
  <si>
    <t>101033</t>
  </si>
  <si>
    <t>101034</t>
  </si>
  <si>
    <t>101035</t>
  </si>
  <si>
    <t>101036</t>
  </si>
  <si>
    <t>TrapHit% + 50</t>
  </si>
  <si>
    <t>101037</t>
  </si>
  <si>
    <t>101038</t>
  </si>
  <si>
    <t>101039</t>
  </si>
  <si>
    <t>101040</t>
  </si>
  <si>
    <t>101041</t>
  </si>
  <si>
    <t>101042</t>
  </si>
  <si>
    <t>101043</t>
  </si>
  <si>
    <t>101044</t>
  </si>
  <si>
    <t>101045</t>
  </si>
  <si>
    <t>101046</t>
  </si>
  <si>
    <t>101047</t>
  </si>
  <si>
    <t>101048</t>
  </si>
  <si>
    <t>101049</t>
  </si>
  <si>
    <t>101050</t>
  </si>
  <si>
    <t>Level_B_0_0005</t>
  </si>
  <si>
    <t>怪物捕捉</t>
  </si>
  <si>
    <t>TrapHit% + 20</t>
  </si>
  <si>
    <t>102002</t>
  </si>
  <si>
    <t>102003</t>
  </si>
  <si>
    <t>102004</t>
  </si>
  <si>
    <t>102005</t>
  </si>
  <si>
    <t>102006</t>
  </si>
  <si>
    <t>102007</t>
  </si>
  <si>
    <t>102008</t>
  </si>
  <si>
    <t>102009</t>
  </si>
  <si>
    <t>102010</t>
  </si>
  <si>
    <t>Level_B_0_0001|Level_B_0_0002|Level_B_0_0003|Level_B_0_0004</t>
  </si>
  <si>
    <t>11</t>
  </si>
  <si>
    <t>102011</t>
  </si>
  <si>
    <t>12</t>
  </si>
  <si>
    <t>102012</t>
  </si>
  <si>
    <t>13</t>
  </si>
  <si>
    <t>102013</t>
  </si>
  <si>
    <t>14</t>
  </si>
  <si>
    <t>102014</t>
  </si>
  <si>
    <t>15</t>
  </si>
  <si>
    <t>102015</t>
  </si>
  <si>
    <t>16</t>
  </si>
  <si>
    <t>102016</t>
  </si>
  <si>
    <t>17</t>
  </si>
  <si>
    <t>102017</t>
  </si>
  <si>
    <t>18</t>
  </si>
  <si>
    <t>102018</t>
  </si>
  <si>
    <t>19</t>
  </si>
  <si>
    <t>102019</t>
  </si>
  <si>
    <t>102020</t>
  </si>
  <si>
    <t>21</t>
  </si>
  <si>
    <t>102021</t>
  </si>
  <si>
    <t>22</t>
  </si>
  <si>
    <t>102022</t>
  </si>
  <si>
    <t>23</t>
  </si>
  <si>
    <t>102023</t>
  </si>
  <si>
    <t>24</t>
  </si>
  <si>
    <t>102024</t>
  </si>
  <si>
    <t>25</t>
  </si>
  <si>
    <t>102025</t>
  </si>
  <si>
    <t>26</t>
  </si>
  <si>
    <t>102026</t>
  </si>
  <si>
    <t>27</t>
  </si>
  <si>
    <t>102027</t>
  </si>
  <si>
    <t>28</t>
  </si>
  <si>
    <t>102028</t>
  </si>
  <si>
    <t>29</t>
  </si>
  <si>
    <t>102029</t>
  </si>
  <si>
    <t>102030</t>
  </si>
  <si>
    <t>31</t>
  </si>
  <si>
    <t>102031</t>
  </si>
  <si>
    <t>TrapHit% + 80</t>
  </si>
  <si>
    <t>32</t>
  </si>
  <si>
    <t>102032</t>
  </si>
  <si>
    <t>33</t>
  </si>
  <si>
    <t>102033</t>
  </si>
  <si>
    <t>34</t>
  </si>
  <si>
    <t>102034</t>
  </si>
  <si>
    <t>35</t>
  </si>
  <si>
    <t>102035</t>
  </si>
  <si>
    <t>36</t>
  </si>
  <si>
    <t>102036</t>
  </si>
  <si>
    <t>37</t>
  </si>
  <si>
    <t>102037</t>
  </si>
  <si>
    <t>38</t>
  </si>
  <si>
    <t>102038</t>
  </si>
  <si>
    <t>39</t>
  </si>
  <si>
    <t>102039</t>
  </si>
  <si>
    <t>102040</t>
  </si>
  <si>
    <t>41</t>
  </si>
  <si>
    <t>102041</t>
  </si>
  <si>
    <t>TrapHit% + 110</t>
  </si>
  <si>
    <t>42</t>
  </si>
  <si>
    <t>102042</t>
  </si>
  <si>
    <t>43</t>
  </si>
  <si>
    <t>102043</t>
  </si>
  <si>
    <t>44</t>
  </si>
  <si>
    <t>102044</t>
  </si>
  <si>
    <t>45</t>
  </si>
  <si>
    <t>102045</t>
  </si>
  <si>
    <t>46</t>
  </si>
  <si>
    <t>102046</t>
  </si>
  <si>
    <t>47</t>
  </si>
  <si>
    <t>102047</t>
  </si>
  <si>
    <t>48</t>
  </si>
  <si>
    <t>102048</t>
  </si>
  <si>
    <t>49</t>
  </si>
  <si>
    <t>102049</t>
  </si>
  <si>
    <t>102050</t>
  </si>
  <si>
    <t>抽取概率;Drop表ID|抽取概率;Drop表ID</t>
  </si>
  <si>
    <t>103001</t>
  </si>
  <si>
    <t>TrapHit% + 60</t>
  </si>
  <si>
    <t>103002</t>
  </si>
  <si>
    <t>103003</t>
  </si>
  <si>
    <t>103004</t>
  </si>
  <si>
    <t>103005</t>
  </si>
  <si>
    <t>103006</t>
  </si>
  <si>
    <t>103007</t>
  </si>
  <si>
    <t>TrapHit% + 90</t>
  </si>
  <si>
    <t>103008</t>
  </si>
  <si>
    <t>103009</t>
  </si>
  <si>
    <t>103010</t>
  </si>
  <si>
    <t>103011</t>
  </si>
  <si>
    <t>103012</t>
  </si>
  <si>
    <t>103013</t>
  </si>
  <si>
    <t>103014</t>
  </si>
  <si>
    <t>103015</t>
  </si>
  <si>
    <t>103016</t>
  </si>
  <si>
    <t>103017</t>
  </si>
  <si>
    <t>TrapHit% + 140</t>
  </si>
  <si>
    <t>103018</t>
  </si>
  <si>
    <t>103019</t>
  </si>
  <si>
    <t>103020</t>
  </si>
  <si>
    <t>TrapHit% + 180</t>
  </si>
  <si>
    <t>Level_B_0_0004</t>
  </si>
  <si>
    <t>104001</t>
  </si>
  <si>
    <t>104002</t>
  </si>
  <si>
    <t>104003</t>
  </si>
  <si>
    <t>104004</t>
  </si>
  <si>
    <t>104005</t>
  </si>
  <si>
    <t>104006</t>
  </si>
  <si>
    <t>104007</t>
  </si>
  <si>
    <t>104008</t>
  </si>
  <si>
    <t>104009</t>
  </si>
  <si>
    <t>104010</t>
  </si>
  <si>
    <t>104011</t>
  </si>
  <si>
    <t>104012</t>
  </si>
  <si>
    <t>104013</t>
  </si>
  <si>
    <t>104014</t>
  </si>
  <si>
    <t>104015</t>
  </si>
  <si>
    <t>104016</t>
  </si>
  <si>
    <t>TrapHit% + 170</t>
  </si>
  <si>
    <t>104017</t>
  </si>
  <si>
    <t>104018</t>
  </si>
  <si>
    <t>104019</t>
  </si>
  <si>
    <t>104020</t>
  </si>
  <si>
    <t>104021</t>
  </si>
  <si>
    <t>104022</t>
  </si>
  <si>
    <t>104023</t>
  </si>
  <si>
    <t>104024</t>
  </si>
  <si>
    <t>104025</t>
  </si>
  <si>
    <t>104026</t>
  </si>
  <si>
    <t>104027</t>
  </si>
  <si>
    <t>104028</t>
  </si>
  <si>
    <t>104029</t>
  </si>
  <si>
    <t>104030</t>
  </si>
  <si>
    <t>104031</t>
  </si>
  <si>
    <t>TrapHit% + 210</t>
  </si>
  <si>
    <t>104032</t>
  </si>
  <si>
    <t>104033</t>
  </si>
  <si>
    <t>104034</t>
  </si>
  <si>
    <t>104035</t>
  </si>
  <si>
    <t>104036</t>
  </si>
  <si>
    <t>104037</t>
  </si>
  <si>
    <t>104038</t>
  </si>
  <si>
    <t>104039</t>
  </si>
  <si>
    <t>104040</t>
  </si>
  <si>
    <t>104041</t>
  </si>
  <si>
    <t>TrapHit% + 230</t>
  </si>
  <si>
    <t>104042</t>
  </si>
  <si>
    <t>104043</t>
  </si>
  <si>
    <t>104044</t>
  </si>
  <si>
    <t>104045</t>
  </si>
  <si>
    <t>104046</t>
  </si>
  <si>
    <t>104047</t>
  </si>
  <si>
    <t>104048</t>
  </si>
  <si>
    <t>104049</t>
  </si>
  <si>
    <t>104050</t>
  </si>
  <si>
    <t>105001</t>
  </si>
  <si>
    <t>TrapHit% + 200</t>
  </si>
  <si>
    <t>105002</t>
  </si>
  <si>
    <t>105003</t>
  </si>
  <si>
    <t>105004</t>
  </si>
  <si>
    <t>105005</t>
  </si>
  <si>
    <t>105006</t>
  </si>
  <si>
    <t>105007</t>
  </si>
  <si>
    <t>105008</t>
  </si>
  <si>
    <t>105009</t>
  </si>
  <si>
    <t>105010</t>
  </si>
  <si>
    <t>105011</t>
  </si>
  <si>
    <t>105012</t>
  </si>
  <si>
    <t>105013</t>
  </si>
  <si>
    <t>105014</t>
  </si>
  <si>
    <t>105015</t>
  </si>
  <si>
    <t>105016</t>
  </si>
  <si>
    <t>TrapHit% + 260</t>
  </si>
  <si>
    <t>105017</t>
  </si>
  <si>
    <t>105018</t>
  </si>
  <si>
    <t>105019</t>
  </si>
  <si>
    <t>105020</t>
  </si>
  <si>
    <t>105021</t>
  </si>
  <si>
    <t>105022</t>
  </si>
  <si>
    <t>105023</t>
  </si>
  <si>
    <t>105024</t>
  </si>
  <si>
    <t>105025</t>
  </si>
  <si>
    <t>105026</t>
  </si>
  <si>
    <t>105027</t>
  </si>
  <si>
    <t>105028</t>
  </si>
  <si>
    <t>105029</t>
  </si>
  <si>
    <t>105030</t>
  </si>
  <si>
    <t>105031</t>
  </si>
  <si>
    <t>TrapHit% + 320</t>
  </si>
  <si>
    <t>105032</t>
  </si>
  <si>
    <t>105033</t>
  </si>
  <si>
    <t>105034</t>
  </si>
  <si>
    <t>105035</t>
  </si>
  <si>
    <t>105036</t>
  </si>
  <si>
    <t>105037</t>
  </si>
  <si>
    <t>105038</t>
  </si>
  <si>
    <t>105039</t>
  </si>
  <si>
    <t>105040</t>
  </si>
  <si>
    <t>105041</t>
  </si>
  <si>
    <t>TrapHit% + 360</t>
  </si>
  <si>
    <t>105042</t>
  </si>
  <si>
    <t>105043</t>
  </si>
  <si>
    <t>105044</t>
  </si>
  <si>
    <t>105045</t>
  </si>
  <si>
    <t>105046</t>
  </si>
  <si>
    <t>105047</t>
  </si>
  <si>
    <t>105048</t>
  </si>
  <si>
    <t>105049</t>
  </si>
  <si>
    <t>105050</t>
  </si>
  <si>
    <t>106001</t>
  </si>
  <si>
    <t>106002</t>
  </si>
  <si>
    <t>106003</t>
  </si>
  <si>
    <t>106004</t>
  </si>
  <si>
    <t>106005</t>
  </si>
  <si>
    <t>106006</t>
  </si>
  <si>
    <t>106007</t>
  </si>
  <si>
    <t>TrapHit% + 330</t>
  </si>
  <si>
    <t>106008</t>
  </si>
  <si>
    <t>106009</t>
  </si>
  <si>
    <t>106010</t>
  </si>
  <si>
    <t>106011</t>
  </si>
  <si>
    <t>106012</t>
  </si>
  <si>
    <t>106013</t>
  </si>
  <si>
    <t>TrapHit% + 380</t>
  </si>
  <si>
    <t>106014</t>
  </si>
  <si>
    <t>106015</t>
  </si>
  <si>
    <t>106016</t>
  </si>
  <si>
    <t>106017</t>
  </si>
  <si>
    <t>TrapHit% + 430</t>
  </si>
  <si>
    <t>106018</t>
  </si>
  <si>
    <t>106019</t>
  </si>
  <si>
    <t>106020</t>
  </si>
  <si>
    <t>TrapHit% + 450</t>
  </si>
  <si>
    <t>TrapHit% + 410</t>
  </si>
  <si>
    <t>TrapHit% + 510</t>
  </si>
  <si>
    <t>TrapHit% + 610</t>
  </si>
  <si>
    <t>TrapHit% + 710</t>
  </si>
  <si>
    <t>108001</t>
  </si>
  <si>
    <t>TrapHit% + 620</t>
  </si>
  <si>
    <t>Level_M_0_0001|Level_M_0_0002|Level_M_0_0003|Level_M_0_0004|Level_M_0_0005|Level_M_0_0006|Level_M_0_0007|Level_M_0_0008|Level_M_0_0009|Level_M_0_0010|Level_M_0_0011|Level_M_0_0012|Level_M_0_0013|Level_M_0_0014|Level_M_0_0015|Level_M_0_0016|Level_M_0_0017|Level_M_0_0018|Level_M_0_0019|Level_M_0_0020</t>
  </si>
  <si>
    <t>108002</t>
  </si>
  <si>
    <t>Level_M_0_0021|Level_M_0_0022|Level_M_0_0023|Level_M_0_0024|Level_M_0_0025|Level_M_0_0026|Level_M_0_0027|Level_M_0_0028|Level_M_0_0029|Level_M_0_0030|Level_M_0_0031|Level_M_0_0032|Level_M_0_0033|Level_M_0_0034|Level_M_0_0035|Level_M_0_0036|Level_M_0_0037|Level_M_0_0038|Level_M_0_0039|Level_M_0_0040</t>
  </si>
  <si>
    <t>108003</t>
  </si>
  <si>
    <t>Level_M_1_0001|Level_M_1_0002|Level_M_1_0003|Level_M_1_0004|Level_M_1_0005|Level_M_1_0006|Level_M_1_0007|Level_M_1_0008|Level_M_1_0009|Level_M_1_0010|Level_M_1_0011|Level_M_1_0012|Level_M_1_0013|Level_M_1_0014|Level_M_1_0015|Level_M_1_0016|Level_M_1_0017|Level_M_1_0018|Level_M_1_0019|Level_M_1_0020|Level_M_1_0101|Level_M_1_0102|Level_M_1_0103|Level_M_1_0104|Level_M_1_0105|Level_M_1_0201|Level_M_1_0202|Level_M_1_0203|Level_M_1_0204|Level_M_1_0205</t>
  </si>
  <si>
    <t>108004</t>
  </si>
  <si>
    <t>Level_M_1_0019|Level_M_1_0020|Level_M_1_0021</t>
  </si>
  <si>
    <t>108005</t>
  </si>
  <si>
    <t>108006</t>
  </si>
  <si>
    <t>Level_M_2_0001|Level_M_2_0002|Level_M_2_0003|Level_M_2_0004|Level_M_2_0005|Level_M_2_0006|Level_M_2_0007|Level_M_2_0008|Level_M_2_0009|Level_M_2_0010</t>
  </si>
  <si>
    <t>108007</t>
  </si>
  <si>
    <t>Level_M_2_0013|Level_M_2_0014|Level_M_2_0015|Level_M_2_0016|Level_M_2_0017|Level_M_2_0018|Level_M_2_0019|Level_M_2_0020|Level_M_2_0021|Level_M_2_0022|Level_M_2_0023|Level_M_2_0024|Level_M_2_0025|Level_M_2_0026|Level_M_2_0027|Level_M_2_0028|Level_M_2_0029|Level_M_2_0030|Level_M_2_0101|Level_M_2_0102|Level_M_2_0103|Level_M_2_0104|Level_M_2_0105|Level_M_2_0201|Level_M_2_0202|Level_M_2_0203|Level_M_2_0204</t>
  </si>
  <si>
    <t>Level_M_2_0011|Level_M_2_0012</t>
  </si>
  <si>
    <t>108008</t>
  </si>
  <si>
    <t>108009</t>
  </si>
  <si>
    <t>Level_M_3_0001|Level_M_3_0002|Level_M_3_0003|Level_M_3_0004|Level_M_3_0005|Level_M_3_0006|Level_M_3_0007|Level_M_3_0008|Level_M_3_0009|Level_M_3_0010|Level_M_3_0011|Level_M_3_0012</t>
  </si>
  <si>
    <t>Level_M_3_0001|Level_M_3_0002|Level_M_3_0003|Level_M_3_0004</t>
  </si>
  <si>
    <t>108010</t>
  </si>
  <si>
    <t>108011</t>
  </si>
  <si>
    <t>Level_M_4_0001|Level_M_4_0002|Level_M_4_0003|Level_M_4_0004|Level_M_4_0005|Level_M_4_0006|Level_M_4_0007|Level_M_4_0008|Level_M_4_0009|Level_M_4_0010|Level_M_4_0011|Level_M_4_0012|Level_M_4_0013|Level_M_4_0014|Level_M_4_0015|Level_M_4_0016|Level_M_4_0017|Level_M_4_0018|Level_M_4_0019|Level_M_4_0020|Level_M_4_0021|Level_M_4_0022|Level_M_4_0023|Level_M_4_0024|Level_M_4_0025|Level_M_4_0026|Level_M_4_0027|Level_M_4_0028|Level_M_4_0029|Level_M_4_0030|Level_M_4_0031|Level_M_4_0032|Level_M_4_0101|Level_M_4_0102|Level_M_4_0103|Level_M_4_0104|Level_M_4_0105|Level_M_4_0201|Level_M_4_0202|Level_M_4_0203|Level_M_4_0204</t>
  </si>
  <si>
    <t>Level_M_4_0001|Level_M_4_0002|Level_M_4_0003</t>
  </si>
  <si>
    <t>108012</t>
  </si>
  <si>
    <t>108013</t>
  </si>
  <si>
    <t>108014</t>
  </si>
  <si>
    <t>108015</t>
  </si>
  <si>
    <t>108016</t>
  </si>
  <si>
    <t>TrapHit% + 810</t>
  </si>
  <si>
    <t>Level_M_5_0003|Level_M_5_0004|Level_M_5_0005|Level_M_5_0006|Level_M_5_0007|Level_M_5_0008|Level_M_5_0009|Level_M_5_0010|Level_M_5_0011|Level_M_5_0012|Level_M_5_0013|Level_M_5_0014|Level_M_5_0015|Level_M_5_0016|Level_M_5_0017|Level_M_5_0018|Level_M_5_0019|Level_M_5_0020|Level_M_5_0021|Level_M_5_0022|Level_M_5_0101|Level_M_5_0102|Level_M_5_0103|Level_M_5_0104|Level_M_5_0105|Level_M_5_0201|Level_M_5_0202|Level_M_5_0203|Level_M_5_0204</t>
  </si>
  <si>
    <t>Level_M_5_0001|Level_M_5_0002</t>
  </si>
  <si>
    <t>108017</t>
  </si>
  <si>
    <t>108018</t>
  </si>
  <si>
    <t>108019</t>
  </si>
  <si>
    <t>Level_M_6_0001|Level_M_6_0002|Level_M_6_0003|Level_M_6_0004|Level_M_6_0005|Level_M_6_0006|Level_M_6_0007|Level_M_6_0008|Level_M_6_0009|Level_M_6_0010</t>
  </si>
  <si>
    <t>108020</t>
  </si>
  <si>
    <t>108021</t>
  </si>
  <si>
    <t>Level_M_7_0003|Level_M_7_0004|Level_M_7_0005|Level_M_7_0006|Level_M_7_0007|Level_M_7_0008|Level_M_7_0009|Level_M_7_0010|Level_M_7_0011|Level_M_7_0012|Level_M_7_0015|Level_M_7_0016|Level_M_7_0017|Level_M_7_0018|Level_M_7_0019|Level_M_7_0020|Level_M_7_0021|Level_M_7_0022|Level_M_7_0023|Level_M_7_0024|Level_M_7_0025|Level_M_7_0026|Level_M_7_0101|Level_M_7_0102</t>
  </si>
  <si>
    <t>Level_M_7_0001|Level_M_7_0002</t>
  </si>
  <si>
    <t>108022</t>
  </si>
  <si>
    <t>108023</t>
  </si>
  <si>
    <t>Level_M_7_0003|Level_M_7_0004|Level_M_7_0005|Level_M_7_0006|Level_M_7_0007|Level_M_7_0008|Level_M_7_0009|Level_M_7_0010|Level_M_7_0011|Level_M_7_0012|Level_M_7_0015|Level_M_7_0016|Level_M_7_0017|Level_M_7_0018|Level_M_7_0019|Level_M_7_0020|Level_M_7_0021|Level_M_7_0022|Level_M_7_0023|Level_M_7_0024|Level_M_7_0025|Level_M_7_0026|Level_M_7_0101|Level_M_7_0102|Level_M_7_0202|Level_M_7_0203</t>
  </si>
  <si>
    <t>108024</t>
  </si>
  <si>
    <t>108025</t>
  </si>
  <si>
    <t>108026</t>
  </si>
  <si>
    <t>Level_M_7_0027|Level_M_7_0028|Level_M_7_0029|Level_M_7_0030|Level_M_7_0031|Level_M_7_0032|Level_M_7_0033|Level_M_7_0034|Level_M_7_0035|Level_M_7_0036|Level_M_7_0037|Level_M_7_0038|Level_M_7_0039|Level_M_7_0040|Level_M_7_0041|Level_M_7_0042|Level_M_7_0043|Level_M_7_0044|Level_M_7_0045|Level_M_7_0046|Level_M_7_0047|Level_M_7_0048|Level_M_7_0049|Level_M_7_0050|Level_M_7_0051|Level_M_7_0052|Level_M_7_0053|Level_M_7_0054|Level_M_7_0055|Level_M_7_0056|Level_M_7_0057|Level_M_7_0058|Level_M_7_0059|Level_M_7_0060|Level_M_7_0103|Level_M_7_0104|Level_M_7_0105|Level_M_7_0203|Level_M_7_0202|Level_M_7_0201|Level_M_7_0204|Level_M_7_0205</t>
  </si>
  <si>
    <t>108027</t>
  </si>
  <si>
    <t>108028</t>
  </si>
  <si>
    <t>108029</t>
  </si>
  <si>
    <t>Level_M_6_0001|Level_M_6_0002|Level_M_6_0003|Level_M_6_0004|Level_M_6_0005|Level_M_6_0006|Level_M_6_0007|Level_M_6_0008|Level_M_6_0009|Level_M_6_0010|Level_M_6_0011|Level_M_6_0012|Level_M_6_0013|Level_M_6_0014|Level_M_6_0015|Level_M_6_0016|Level_M_6_0017|Level_M_6_0018|Level_M_6_0019|Level_M_6_0020</t>
  </si>
  <si>
    <t>108030</t>
  </si>
  <si>
    <t>108031</t>
  </si>
  <si>
    <t>TrapHit% + 1000</t>
  </si>
  <si>
    <t>108032</t>
  </si>
  <si>
    <t>108033</t>
  </si>
  <si>
    <t>108034</t>
  </si>
  <si>
    <t>108035</t>
  </si>
  <si>
    <t>108036</t>
  </si>
  <si>
    <t>Level_M_8_0001|Level_M_8_0002|Level_M_8_0003|Level_M_8_0004|Level_M_8_0005|Level_M_8_0006|Level_M_8_0007|Level_M_8_0008|Level_M_8_0009|Level_M_8_0010|Level_M_8_0011|Level_M_8_0012|Level_M_8_0013|Level_M_8_0014|Level_M_8_0015|Level_M_8_0016|Level_M_8_0017|Level_M_8_0018|Level_M_8_0019|Level_M_8_0020|Level_M_8_0021|Level_M_8_0022|Level_M_8_0023|Level_M_8_0024|Level_M_8_0025|Level_M_8_0026|Level_M_8_0027|Level_M_8_0028|Level_M_8_0029|Level_M_8_0030|Level_M_8_0031|Level_M_8_0032|Level_M_8_0033|Level_M_8_0034|Level_M_8_0035|Level_M_8_0036|Level_M_8_0037|Level_M_8_0038|Level_M_8_0039|Level_M_8_0040|Level_M_8_0041|Level_M_8_0042|Level_M_8_0101|Level_M_8_0102|Level_M_8_0103|Level_M_8_0104|Level_M_8_0105|Level_M_8_0201|Level_M_8_0202|Level_M_8_0203|Level_M_8_0204|Level_M_8_0205</t>
  </si>
  <si>
    <t>108037</t>
  </si>
  <si>
    <t>108038</t>
  </si>
  <si>
    <t>108039</t>
  </si>
  <si>
    <t>108040</t>
  </si>
  <si>
    <t>108041</t>
  </si>
  <si>
    <t>TrapHit% + 1140</t>
  </si>
  <si>
    <t>108042</t>
  </si>
  <si>
    <t>108043</t>
  </si>
  <si>
    <t>108044</t>
  </si>
  <si>
    <t>108045</t>
  </si>
  <si>
    <t>108046</t>
  </si>
  <si>
    <t>108047</t>
  </si>
  <si>
    <t>108048</t>
  </si>
  <si>
    <t>108049</t>
  </si>
  <si>
    <t>108050</t>
  </si>
  <si>
    <t>109001</t>
  </si>
  <si>
    <t>HPMax% + 1770|Attack% + 840|BodyHit% + 840</t>
  </si>
  <si>
    <t>TrapHit% + 840</t>
  </si>
  <si>
    <t>109002</t>
  </si>
  <si>
    <t>109003</t>
  </si>
  <si>
    <t>109004</t>
  </si>
  <si>
    <t>109005</t>
  </si>
  <si>
    <t>109006</t>
  </si>
  <si>
    <t>HPMax% + 2615|Attack% + 840|BodyHit% + 840</t>
  </si>
  <si>
    <t>109007</t>
  </si>
  <si>
    <t>109008</t>
  </si>
  <si>
    <t>109009</t>
  </si>
  <si>
    <t>109010</t>
  </si>
  <si>
    <t>Level_B_0_0001|Level_B_0_0002</t>
  </si>
  <si>
    <t>109011</t>
  </si>
  <si>
    <t>HPMax% + 3235|Attack% + 840|BodyHit% + 840</t>
  </si>
  <si>
    <t>109012</t>
  </si>
  <si>
    <t>109013</t>
  </si>
  <si>
    <t>109014</t>
  </si>
  <si>
    <t>109015</t>
  </si>
  <si>
    <t>109016</t>
  </si>
  <si>
    <t>HPMax% + 4075|Attack% + 1090|BodyHit% + 1090</t>
  </si>
  <si>
    <t>TrapHit% + 1090</t>
  </si>
  <si>
    <t>109017</t>
  </si>
  <si>
    <t>109018</t>
  </si>
  <si>
    <t>109019</t>
  </si>
  <si>
    <t>109020</t>
  </si>
  <si>
    <t>109021</t>
  </si>
  <si>
    <t>HPMax% + 5125|Attack% + 1090|BodyHit% + 1090</t>
  </si>
  <si>
    <t>109022</t>
  </si>
  <si>
    <t>109023</t>
  </si>
  <si>
    <t>109024</t>
  </si>
  <si>
    <t>109025</t>
  </si>
  <si>
    <t>109026</t>
  </si>
  <si>
    <t>HPMax% + 6175|Attack% + 1090|BodyHit% + 1090</t>
  </si>
  <si>
    <t>109027</t>
  </si>
  <si>
    <t>109028</t>
  </si>
  <si>
    <t>109029</t>
  </si>
  <si>
    <t>109030</t>
  </si>
  <si>
    <t>Level_B_0_0003|Level_B_0_0004</t>
  </si>
  <si>
    <t>109031</t>
  </si>
  <si>
    <t>HPMax% + 7430|Attack% + 1335|BodyHit% + 1335</t>
  </si>
  <si>
    <t>TrapHit% + 1340</t>
  </si>
  <si>
    <t>109032</t>
  </si>
  <si>
    <t>109033</t>
  </si>
  <si>
    <t>109034</t>
  </si>
  <si>
    <t>109035</t>
  </si>
  <si>
    <t>109036</t>
  </si>
  <si>
    <t>HPMax% + 8910|Attack% + 1335|BodyHit% + 1335</t>
  </si>
  <si>
    <t>109037</t>
  </si>
  <si>
    <t>109038</t>
  </si>
  <si>
    <t>109039</t>
  </si>
  <si>
    <t>109040</t>
  </si>
  <si>
    <t>109041</t>
  </si>
  <si>
    <t>HPMax% + 10170|Attack% + 1530|BodyHit% + 1530</t>
  </si>
  <si>
    <t>TrapHit% + 1530</t>
  </si>
  <si>
    <t>109042</t>
  </si>
  <si>
    <t>109043</t>
  </si>
  <si>
    <t>109044</t>
  </si>
  <si>
    <t>109045</t>
  </si>
  <si>
    <t>109046</t>
  </si>
  <si>
    <t>HPMax% + 11445|Attack% + 1530|BodyHit% + 1530</t>
  </si>
  <si>
    <t>109047</t>
  </si>
  <si>
    <t>109048</t>
  </si>
  <si>
    <t>109049</t>
  </si>
  <si>
    <t>109050</t>
  </si>
  <si>
    <t>110001</t>
  </si>
  <si>
    <t>HPMax% + 2685|Attack% + 1030|BodyHit% + 1030</t>
  </si>
  <si>
    <t>TrapHit% + 1030</t>
  </si>
  <si>
    <t>Level_M_0_0001|Level_M_0_0002|Level_M_0_0003|Level_M_0_0004|Level_M_0_0005</t>
  </si>
  <si>
    <t>110002</t>
  </si>
  <si>
    <t>110003</t>
  </si>
  <si>
    <t>HPMax% + 3525|Attack% + 1030|BodyHit% + 1030</t>
  </si>
  <si>
    <t>Level_M_0_0006|Level_M_0_0007|Level_M_0_0008|Level_M_0_0009|Level_M_0_0010</t>
  </si>
  <si>
    <t>110004</t>
  </si>
  <si>
    <t>110005</t>
  </si>
  <si>
    <t>HPMax% + 5040|Attack% + 1030|BodyHit% + 1030</t>
  </si>
  <si>
    <t>Level_B_0_0001</t>
  </si>
  <si>
    <t>110006</t>
  </si>
  <si>
    <t>HPMax% + 4370|Attack% + 1030|BodyHit% + 1030</t>
  </si>
  <si>
    <t>Level_M_0_0011|Level_M_0_0012|Level_M_0_0013|Level_M_0_0014|Level_M_0_0015</t>
  </si>
  <si>
    <t>110007</t>
  </si>
  <si>
    <t>HPMax% + 5210|Attack% + 1245|BodyHit% + 1245</t>
  </si>
  <si>
    <t>TrapHit% + 1250</t>
  </si>
  <si>
    <t>110008</t>
  </si>
  <si>
    <t>Level_M_0_0016|Level_M_0_0017|Level_M_0_0018|Level_M_0_0019|Level_M_0_0020</t>
  </si>
  <si>
    <t>110009</t>
  </si>
  <si>
    <t>HPMax% + 6055|Attack% + 1245|BodyHit% + 1245</t>
  </si>
  <si>
    <t>110010</t>
  </si>
  <si>
    <t>HPMax% + 5165|Attack% + 1245|BodyHit% + 1245</t>
  </si>
  <si>
    <t>|Level_B_0_0002|Level_B_0_0003</t>
  </si>
  <si>
    <t>110011</t>
  </si>
  <si>
    <t>HPMax% + 7155|Attack% + 1245|BodyHit% + 1245</t>
  </si>
  <si>
    <t>Level_M_0_0021|Level_M_0_0022|Level_M_0_0023|Level_M_0_0024|Level_M_0_0025</t>
  </si>
  <si>
    <t>110012</t>
  </si>
  <si>
    <t>110013</t>
  </si>
  <si>
    <t>HPMax% + 8275|Attack% + 1400|BodyHit% + 1400</t>
  </si>
  <si>
    <t>TrapHit% + 1400</t>
  </si>
  <si>
    <t>Level_M_0_0026|Level_M_0_0027|Level_M_0_0028|Level_M_0_0029|Level_M_0_0030</t>
  </si>
  <si>
    <t>110014</t>
  </si>
  <si>
    <t>110015</t>
  </si>
  <si>
    <t>HPMax% + 7195|Attack% + 1400|BodyHit% + 1400</t>
  </si>
  <si>
    <t>110016</t>
  </si>
  <si>
    <t>HPMax% + 9400|Attack% + 1400|BodyHit% + 1400</t>
  </si>
  <si>
    <t>Level_M_0_0031|Level_M_0_0032|Level_M_0_0033|Level_M_0_0034|Level_M_0_0035</t>
  </si>
  <si>
    <t>110017</t>
  </si>
  <si>
    <t>HPMax% + 10520|Attack% + 1545|BodyHit% + 1545</t>
  </si>
  <si>
    <t>TrapHit% + 1550</t>
  </si>
  <si>
    <t>110018</t>
  </si>
  <si>
    <t>Level_M_0_0036|Level_M_0_0037|Level_M_0_0038|Level_M_0_0039|Level_M_0_0040</t>
  </si>
  <si>
    <t>110019</t>
  </si>
  <si>
    <t>HPMax% + 11645|Attack% + 1545|BodyHit% + 1545</t>
  </si>
  <si>
    <t>110020</t>
  </si>
  <si>
    <t>HPMax% + 15595|Attack% + 1545|BodyHit% + 1545</t>
  </si>
  <si>
    <t>111001</t>
  </si>
  <si>
    <t>Attack% + 1220|HPMax% + 2700|BodyHit% + 1220|ExpGet% + 0|HPDrop% + 20</t>
  </si>
  <si>
    <t>TrapHit% + 1220</t>
  </si>
  <si>
    <t>Level_M_0_0001|Level_M_0_0002|Level_M_0_0003|Level_M_0_0004|Level_M_0_0005|Level_M_0_0006|Level_M_0_0007|Level_M_0_0008|Level_M_0_0009|Level_M_0_0010|Level_M_0_0011|Level_M_0_0012|Level_M_0_0013|Level_M_0_0014|Level_M_0_0015</t>
  </si>
  <si>
    <t>111002</t>
  </si>
  <si>
    <t>111003</t>
  </si>
  <si>
    <t>Level_M_0_0016|Level_M_0_0017|Level_M_0_0018|Level_M_0_0019|Level_M_0_0020|Level_M_0_0021|Level_M_0_0022|Level_M_0_0023|Level_M_0_0024|Level_M_0_0025|Level_M_0_0026|Level_M_0_0027|Level_M_0_0028|Level_M_0_0029|Level_M_0_0030</t>
  </si>
  <si>
    <t>111004</t>
  </si>
  <si>
    <t>Attack% + 1220|HPMax% + 4100|BodyHit% + 1220|ExpGet% + 0|HPDrop% + 20</t>
  </si>
  <si>
    <t>111005</t>
  </si>
  <si>
    <t>111006</t>
  </si>
  <si>
    <t>Level_M_1_0001|Level_M_1_0002|Level_M_1_0003|Level_M_1_0004|Level_M_1_0005|Level_M_1_0006|Level_M_1_0007|Level_M_1_0008|Level_M_1_0009|Level_M_1_0010|Level_M_1_0011|Level_M_1_0012|Level_M_1_0013|Level_M_1_0014|Level_M_1_0015|Level_M_1_0016|Level_M_1_0017|Level_M_1_0018|Level_M_1_0019|Level_M_1_0020</t>
  </si>
  <si>
    <t>111007</t>
  </si>
  <si>
    <t>Attack% + 1220|HPMax% + 5500|BodyHit% + 1220|ExpGet% + 0|HPDrop% + 0</t>
  </si>
  <si>
    <t>111008</t>
  </si>
  <si>
    <t>111009</t>
  </si>
  <si>
    <t>Level_M_1_0021|Level_M_1_0022|Level_M_1_0023|Level_M_1_0024|Level_M_1_0025</t>
  </si>
  <si>
    <t>111010</t>
  </si>
  <si>
    <t>Attack% + 1570|HPMax% + 6900|BodyHit% + 1220|ExpGet% + 0|HPDrop% + 0</t>
  </si>
  <si>
    <t>TrapHit% + 1570</t>
  </si>
  <si>
    <t>111011</t>
  </si>
  <si>
    <t>Level_M_2_0201|Level_M_2_0202|Level_M_2_0203|Level_M_2_0204|Level_M_2_0205|Level_M_2_0206|Level_M_2_0207|Level_M_2_0208|Level_M_2_0209|Level_M_2_0210|Level_M_2_0211|Level_M_2_0212|Level_M_2_0213|Level_M_2_0214|Level_M_2_0215|Level_M_2_0216|Level_M_2_0217|Level_M_2_0218|Level_M_2_0219|Level_M_2_0220</t>
  </si>
  <si>
    <t>111012</t>
  </si>
  <si>
    <t>111013</t>
  </si>
  <si>
    <t>Attack% + 1570|HPMax% + 8650|BodyHit% + 1220|ExpGet% + 0|HPDrop% - 20</t>
  </si>
  <si>
    <t>111014</t>
  </si>
  <si>
    <t>111015</t>
  </si>
  <si>
    <t>111016</t>
  </si>
  <si>
    <t>Attack% + 1570|HPMax% + 10400|BodyHit% + 1220|ExpGet% + 0|HPDrop% - 20</t>
  </si>
  <si>
    <t>Level_M_3_0201|Level_M_3_0202|Level_M_3_0203|Level_M_3_0204|Level_M_3_0205|Level_M_3_0206|Level_M_3_0207|Level_M_3_0208|Level_M_3_0209|Level_M_3_0210|Level_M_3_0211|Level_M_3_0212|Level_M_3_0213|Level_M_3_0214|Level_M_3_0215|Level_M_3_0216|Level_M_3_0217|Level_M_3_0218|Level_M_3_0219|Level_M_3_0220</t>
  </si>
  <si>
    <t>111017</t>
  </si>
  <si>
    <t>111018</t>
  </si>
  <si>
    <t>111019</t>
  </si>
  <si>
    <t>Attack% + 1920|HPMax% + 12500|BodyHit% + 1220|ExpGet% + 0|HPDrop% - 40</t>
  </si>
  <si>
    <t>TrapHit% + 1920</t>
  </si>
  <si>
    <t>Level_M_6_0201|Level_M_6_0202|Level_M_6_0203|Level_M_6_0204|Level_M_6_0205|Level_M_6_0206|Level_M_6_0207|Level_M_6_0208|Level_M_6_0209|Level_M_6_0210</t>
  </si>
  <si>
    <t>111020</t>
  </si>
  <si>
    <t>111021</t>
  </si>
  <si>
    <t>Level_M_4_0201|Level_M_4_0202|Level_M_4_0203|Level_M_4_0204|Level_M_4_0205|Level_M_4_0206|Level_M_4_0207|Level_M_4_0208|Level_M_4_0209|Level_M_4_0210|Level_M_4_0211|Level_M_4_0212|Level_M_4_0213|Level_M_4_0214|Level_M_4_0215|Level_M_4_0216|Level_M_4_0217|Level_M_4_0218|Level_M_4_0219|Level_M_4_0220</t>
  </si>
  <si>
    <t>111022</t>
  </si>
  <si>
    <t>Attack% + 1920|HPMax% + 14950|BodyHit% + 1220|ExpGet% + 0|HPDrop% - 40</t>
  </si>
  <si>
    <t>111023</t>
  </si>
  <si>
    <t>111024</t>
  </si>
  <si>
    <t>111025</t>
  </si>
  <si>
    <t>Attack% + 2180|HPMax% + 17050|BodyHit% + 1220|ExpGet% + 0|HPDrop% - 60</t>
  </si>
  <si>
    <t>TrapHit% + 2180</t>
  </si>
  <si>
    <t>111026</t>
  </si>
  <si>
    <t>111027</t>
  </si>
  <si>
    <t>111028</t>
  </si>
  <si>
    <t>Attack% + 2180|HPMax% + 19150|BodyHit% + 1220|ExpGet% + 0|HPDrop% - 60</t>
  </si>
  <si>
    <t>111029</t>
  </si>
  <si>
    <t>111030</t>
  </si>
  <si>
    <t>Level_B_0_0003</t>
  </si>
  <si>
    <t>112001</t>
  </si>
  <si>
    <t>Attack% + 1400|HPMax% + 3370|BodyHit% + 1400|ExpGet% + 0|HPDrop% + 20</t>
  </si>
  <si>
    <t>112002</t>
  </si>
  <si>
    <t>Level_M_0_0016|Level_M_0_0017|Level_M_0_0018|Level_M_0_0019|Level_M_0_0020|Level_M_0_0021|Level_M_0_0022|Level_M_0_0023|Level_M_0_0024|Level_M_0_0025|Level_M_0_0026|Level_M_0_0027|Level_M_0_0028|Level_M_0_0029|Level_M_0_0030|Level_M_0_0031|Level_M_0_0032</t>
  </si>
  <si>
    <t>112003</t>
  </si>
  <si>
    <t>112004</t>
  </si>
  <si>
    <t>112005</t>
  </si>
  <si>
    <t>112006</t>
  </si>
  <si>
    <t>Attack% + 1400|HPMax% + 5100|BodyHit% + 1400|ExpGet% + 0|HPDrop% + 20</t>
  </si>
  <si>
    <t>112007</t>
  </si>
  <si>
    <t>Level_M_2_0011|Level_M_2_0012|Level_M_2_0013|Level_M_2_0014|Level_M_2_0015|Level_M_2_0016|Level_M_2_0017|Level_M_2_0018|Level_M_2_0019|Level_M_2_0020|Level_M_2_0101|Level_M_2_0102|Level_M_2_0103|Level_M_2_0104|Level_M_2_0105|Level_M_2_0201|Level_M_2_0202|Level_M_2_0203|Level_M_2_0204</t>
  </si>
  <si>
    <t>112008</t>
  </si>
  <si>
    <t>112009</t>
  </si>
  <si>
    <t>112010</t>
  </si>
  <si>
    <t>112011</t>
  </si>
  <si>
    <t>Attack% + 1400|HPMax% + 6840|BodyHit% + 1400|ExpGet% + 0|HPDrop% + 0</t>
  </si>
  <si>
    <t>Level_M_4_0001|Level_M_4_0002|Level_M_4_0003|Level_M_4_0004|Level_M_4_0005|Level_M_4_0006|Level_M_4_0007|Level_M_4_0008|Level_M_4_0009|Level_M_4_0010|Level_M_4_0011|Level_M_4_0012|Level_M_4_0013|Level_M_4_0014|Level_M_4_0015|Level_M_4_0016|Level_M_4_0017|Level_M_4_0018|Level_M_4_0019|Level_M_4_0020|Level_M_4_0021|Level_M_4_0022|Level_M_4_0023|Level_M_4_0024|Level_M_4_0025|Level_M_4_0026|Level_M_4_0027|Level_M_4_0028|Level_M_4_0029|Level_M_4_0030|Level_M_4_0101|Level_M_4_0102|Level_M_4_0103|Level_M_4_0104|Level_M_4_0105|Level_M_4_0201|Level_M_4_0202|Level_M_4_0203|Level_M_4_0204</t>
  </si>
  <si>
    <t>112012</t>
  </si>
  <si>
    <t>112013</t>
  </si>
  <si>
    <t>112014</t>
  </si>
  <si>
    <t>112015</t>
  </si>
  <si>
    <t>112016</t>
  </si>
  <si>
    <t>Attack% + 1800|HPMax% + 8570|BodyHit% + 1400|ExpGet% + 0|HPDrop% + 0</t>
  </si>
  <si>
    <t>TrapHit% + 1800</t>
  </si>
  <si>
    <t>Level_M_5_0003|Level_M_5_0004|Level_M_5_0005|Level_M_5_0006|Level_M_5_0007|Level_M_5_0008|Level_M_5_0009|Level_M_5_0010|Level_M_5_0011|Level_M_5_0012|Level_M_5_0013|Level_M_5_0014|Level_M_5_0015|Level_M_5_0016|Level_M_5_0017|Level_M_5_0018|Level_M_5_0019|Level_M_5_0020|Level_M_5_0101|Level_M_5_0102|Level_M_5_0103|Level_M_5_0104|Level_M_5_0105|Level_M_5_0201|Level_M_5_0202|Level_M_5_0203|Level_M_5_0204</t>
  </si>
  <si>
    <t>112017</t>
  </si>
  <si>
    <t>112018</t>
  </si>
  <si>
    <t>112019</t>
  </si>
  <si>
    <t>112020</t>
  </si>
  <si>
    <t>112021</t>
  </si>
  <si>
    <t>Attack% + 1800|HPMax% + 10740|BodyHit% + 1400|ExpGet% + 0|HPDrop% - 20</t>
  </si>
  <si>
    <t>112022</t>
  </si>
  <si>
    <t>112023</t>
  </si>
  <si>
    <t>Level_M_7_0013|Level_M_7_0014</t>
  </si>
  <si>
    <t>112024</t>
  </si>
  <si>
    <t>112025</t>
  </si>
  <si>
    <t>112026</t>
  </si>
  <si>
    <t>Attack% + 1800|HPMax% + 12900|BodyHit% + 1400|ExpGet% + 0|HPDrop% - 20</t>
  </si>
  <si>
    <t>112027</t>
  </si>
  <si>
    <t>112028</t>
  </si>
  <si>
    <t>112029</t>
  </si>
  <si>
    <t>112030</t>
  </si>
  <si>
    <t>112031</t>
  </si>
  <si>
    <t>Attack% + 2200|HPMax% + 15500|BodyHit% + 1400|ExpGet% + 0|HPDrop% - 40</t>
  </si>
  <si>
    <t>TrapHit% + 2200</t>
  </si>
  <si>
    <t>112032</t>
  </si>
  <si>
    <t>112033</t>
  </si>
  <si>
    <t>112034</t>
  </si>
  <si>
    <t>112035</t>
  </si>
  <si>
    <t>112036</t>
  </si>
  <si>
    <t>Attack% + 2200|HPMax% + 18540|BodyHit% + 1400|ExpGet% + 0|HPDrop% - 40</t>
  </si>
  <si>
    <t>112037</t>
  </si>
  <si>
    <t>112038</t>
  </si>
  <si>
    <t>112039</t>
  </si>
  <si>
    <t>112040</t>
  </si>
  <si>
    <t>112041</t>
  </si>
  <si>
    <t>Attack% + 2500|HPMax% + 21140|BodyHit% + 1400|ExpGet% + 0|HPDrop% - 60</t>
  </si>
  <si>
    <t>TrapHit% + 2500</t>
  </si>
  <si>
    <t>112042</t>
  </si>
  <si>
    <t>112043</t>
  </si>
  <si>
    <t>112044</t>
  </si>
  <si>
    <t>112045</t>
  </si>
  <si>
    <t>112046</t>
  </si>
  <si>
    <t>Attack% + 2500|HPMax% + 23740|BodyHit% + 1400|ExpGet% + 0|HPDrop% - 60</t>
  </si>
  <si>
    <t>112047</t>
  </si>
  <si>
    <t>112048</t>
  </si>
  <si>
    <t>112049</t>
  </si>
  <si>
    <t>112050</t>
  </si>
  <si>
    <t>113001</t>
  </si>
  <si>
    <t>Attack% + 920|HPMax% + 2400|BodyHit% + 920|ExpGet% + 0|HPDrop% + 20</t>
  </si>
  <si>
    <t>TrapHit% + 920</t>
  </si>
  <si>
    <t>113002</t>
  </si>
  <si>
    <t>Attack% + 920|HPMax% + 2900|BodyHit% + 920|ExpGet% + 0|HPDrop% + 20</t>
  </si>
  <si>
    <t>113003</t>
  </si>
  <si>
    <t>Attack% + 920|HPMax% + 3900|BodyHit% + 920|ExpGet% + 0|HPDrop% + 0</t>
  </si>
  <si>
    <t>113004</t>
  </si>
  <si>
    <t>Attack% + 1120|HPMax% + 4900|BodyHit% + 920|ExpGet% + 0|HPDrop% + 0</t>
  </si>
  <si>
    <t>TrapHit% + 1120</t>
  </si>
  <si>
    <t>Level_B_1_0001|Level_B_1_0002|Level_B_1_0003</t>
  </si>
  <si>
    <t>113005</t>
  </si>
  <si>
    <t>Attack% + 1120|HPMax% + 5900|BodyHit% + 920|ExpGet% + 0|HPDrop% - 20</t>
  </si>
  <si>
    <t>113006</t>
  </si>
  <si>
    <t>Attack% + 1120|HPMax% + 6900|BodyHit% + 920|ExpGet% + 0|HPDrop% - 20</t>
  </si>
  <si>
    <t>113007</t>
  </si>
  <si>
    <t>Attack% + 1520|HPMax% + 7900|BodyHit% + 920|ExpGet% + 0|HPDrop% - 40</t>
  </si>
  <si>
    <t>TrapHit% + 1520</t>
  </si>
  <si>
    <t>Level_B_2_0001|Level_B_2_0002|Level_B_2_0003</t>
  </si>
  <si>
    <t>113008</t>
  </si>
  <si>
    <t>Attack% + 1520|HPMax% + 8900|BodyHit% + 920|ExpGet% + 0|HPDrop% - 40</t>
  </si>
  <si>
    <t>113009</t>
  </si>
  <si>
    <t>Attack% + 1520|HPMax% + 9900|BodyHit% + 920|ExpGet% + 0|HPDrop% - 60</t>
  </si>
  <si>
    <t>113010</t>
  </si>
  <si>
    <t>Attack% + 1520|HPMax% + 11150|BodyHit% + 920|ExpGet% + 0|HPDrop% - 60</t>
  </si>
  <si>
    <t>Level_B_2_0004</t>
  </si>
  <si>
    <t>FirstOutPut</t>
    <phoneticPr fontId="35" type="noConversion"/>
  </si>
  <si>
    <t>0</t>
    <phoneticPr fontId="35" type="noConversion"/>
  </si>
  <si>
    <t>Level1_M_0_1001|Level1_M_0_1002|Level1_M_0_1003|Level1_M_0_1004</t>
  </si>
  <si>
    <t>Level1_M_0_1005|Level1_M_0_1006|Level1_M_0_1007|Level1_M_0_1008|Level1_M_0_1009</t>
  </si>
  <si>
    <t>Level1_E_2001|Level1_E_2002|Level1_E_2003|Level1_E_2004|Level1_E_2005|Level1_E_2006|Level1_E_2007|Level1_E_2008|Level1_E_2009|Level1_E_2010</t>
  </si>
  <si>
    <t>Level1_M_0_6001|Level1_M_0_6002|Level1_M_0_6003</t>
  </si>
  <si>
    <t>Level1_M_0_6004|Level1_M_0_6005|Level1_M_0_6006|Level1_M_0_6007</t>
  </si>
  <si>
    <t>Level1_M_0_9001|Level1_M_0_9002|Level1_M_0_9003|Level1_M_0_9004|Level1_M_0_9005</t>
  </si>
  <si>
    <t>Level1_M_1_1001|Level1_M_1_1002|Level1_M_1_1003|Level1_M_1_1004</t>
  </si>
  <si>
    <t>Level1_M_1_1005|Level1_M_1_1006|Level1_M_1_1007|Level1_M_1_1008|Level1_M_1_1009</t>
  </si>
  <si>
    <t>Level1_M_1_6001|Level1_M_1_6002|Level1_M_1_6003|Level1_M_1_6004|Level1_M_1_6005</t>
  </si>
  <si>
    <t>Level1_M_1_6006|Level1_M_1_6007|Level1_M_1_6008|Level1_M_1_6009|Level1_M_1_6010|Level1_M_1_6011|Level1_M_1_6012</t>
  </si>
  <si>
    <t>Level1_M_1_9001|Level1_M_1_9002|Level1_M_1_9003</t>
  </si>
  <si>
    <t>Level1_M_2_1001|Level1_M_2_1002|Level1_M_2_1003|Level1_M_2_1004</t>
  </si>
  <si>
    <t>Level1_M_2_1005|Level1_M_2_1006|Level1_M_2_1007|Level1_M_2_1008</t>
  </si>
  <si>
    <t>Level1_M_2_6001|Level1_M_2_6002|Level1_M_2_6003|Level1_M_2_6004</t>
  </si>
  <si>
    <t>Level1_M_2_6005|Level1_M_2_6006|Level1_M_2_6007|Level1_M_2_6008</t>
  </si>
  <si>
    <t>Level1_M_2_9001|Level1_M_2_9002|Level1_M_2_9003</t>
  </si>
  <si>
    <t>Level1_M_3_1001|Level1_M_3_1002</t>
  </si>
  <si>
    <t>Level1_M_3_1003|Level1_M_3_1004</t>
  </si>
  <si>
    <t>Level1_M_3_1005|Level1_M_3_1006|Level1_M_3_1007|Level1_M_3_1008</t>
  </si>
  <si>
    <t>Level1_M_3_9001|Level1_M_3_9002|Level1_M_3_9003</t>
  </si>
  <si>
    <t>Level1_M_4_1001|Level1_M_4_1002</t>
  </si>
  <si>
    <t>Level1_M_4_1003|Level1_M_4_1004</t>
  </si>
  <si>
    <t>Level1_M_4_1005|Level1_M_4_1006|Level1_M_4_1007</t>
  </si>
  <si>
    <t>Level1_M_4_6001|Level1_M_4_6002|Level1_M_4_6003|Level1_M_4_6004|Level1_M_4_6005|Level1_M_4_6006|Level1_M_4_6007</t>
  </si>
  <si>
    <t>Level1_M_4_9001|Level1_M_4_9002|Level1_M_4_9003</t>
  </si>
  <si>
    <t>Level2_M_0_1005|Level2_M_0_1004|Level2_M_0_1003|Level2_M_0_1002|Level2_M_0_1001</t>
  </si>
  <si>
    <t>Level2_M_0_1009|Level2_M_0_1008|Level2_M_0_1007|Level2_M_0_1006</t>
  </si>
  <si>
    <t>Level2_E_2001|Level2_E_2002|Level2_E_2003|Level2_E_2004|Level2_E_2005|Level2_E_2006|Level2_E_2007|Level2_E_2008|Level2_E_2009|Level2_E_2010</t>
  </si>
  <si>
    <t>Level2_M_0_6009|Level2_M_0_6008|Level2_M_0_6007|Level2_M_0_6006|Level2_M_0_6005|Level2_M_0_6004|Level2_M_0_6003|Level2_M_0_6002|Level2_M_0_6001</t>
  </si>
  <si>
    <t>Level2_M_0_9005|Level2_M_0_9004|Level2_M_0_9003|Level2_M_0_9002|Level2_M_0_9001</t>
  </si>
  <si>
    <t>Level2_M_1_1004|Level2_M_1_1003|Level2_M_1_1002|Level2_M_1_1001</t>
  </si>
  <si>
    <t>Level2_M_1_1008|Level2_M_1_1007|Level2_M_1_1006|Level2_M_1_1005</t>
  </si>
  <si>
    <t>Level2_M_1_6003|Level2_M_1_6002|Level2_M_1_6001</t>
  </si>
  <si>
    <t>Level2_M_1_6008|Level2_M_1_6007|Level2_M_1_6006|Level2_M_1_6005|Level2_M_1_6004</t>
  </si>
  <si>
    <t>Level2_M_1_9005|Level2_M_1_9004|Level2_M_1_9003|Level2_M_1_9002|Level2_M_1_9001</t>
  </si>
  <si>
    <t>Level2_M_2_1002|Level2_M_2_1001</t>
  </si>
  <si>
    <t>Level2_M_2_1004|Level2_M_2_1003</t>
  </si>
  <si>
    <t>Level2_M_2_1007|Level2_M_2_1006|Level2_M_2_1005</t>
  </si>
  <si>
    <t>Level2_M_2_6008|Level2_M_2_6007|Level2_M_2_6006|Level2_M_2_6005|Level2_M_2_6004|Level2_M_2_6003|Level2_M_2_6002|Level2_M_2_6001</t>
  </si>
  <si>
    <t>Level2_M_2_9005|Level2_M_2_9004|Level2_M_2_9003|Level2_M_2_9002|Level2_M_2_9001</t>
  </si>
  <si>
    <t>Level2_M_3_1002|Level2_M_3_1001</t>
  </si>
  <si>
    <t>Level2_M_3_1004|Level2_M_3_1003</t>
  </si>
  <si>
    <t>Level2_M_3_1008|Level2_M_3_1007|Level2_M_3_1006|Level2_M_3_1005</t>
  </si>
  <si>
    <t>Level2_M_3_6008|Level2_M_3_6007|Level2_M_3_6006|Level2_M_3_6005|Level2_M_3_6004|Level2_M_3_6003|Level2_M_3_6002|Level2_M_3_6001</t>
  </si>
  <si>
    <t>Level2_M_3_9003|Level2_M_3_9002|Level2_M_3_9001</t>
  </si>
  <si>
    <t>Level2_M_4_1002|Level2_M_4_1001</t>
  </si>
  <si>
    <t>Level2_M_4_1004|Level2_M_4_1003</t>
  </si>
  <si>
    <t>Level2_M_4_1008|Level2_M_4_1007|Level2_M_4_1006|Level2_M_4_1005</t>
  </si>
  <si>
    <t>Level2_M_4_6006|Level2_M_4_6005|Level2_M_4_6004|Level2_M_4_6003|Level2_M_4_6002|Level2_M_4_6001</t>
  </si>
  <si>
    <t>Level3_E_2001|Level3_E_2002|Level3_E_2003|Level3_E_2004|Level3_E_2005|Level3_E_2006|Level3_E_2007|Level3_E_2008|Level3_E_2009|Level3_E_2010</t>
  </si>
  <si>
    <t>Level4_M_0_1001|Level4_M_0_1002|Level4_M_0_1003|Level4_M_0_1004|Level4_M_0_1005|Level4_M_0_1006|Level4_M_0_1007|Level4_M_0_1008|Level4_M_0_1009</t>
  </si>
  <si>
    <t>Level4_E_2001|Level4_E_2002|Level4_E_2003|Level4_E_2004|Level4_E_2005|Level4_E_2006|Level4_E_2007|Level4_E_2008|Level4_E_2009|Level4_E_2010</t>
  </si>
  <si>
    <t>Level4_M_0_6001|Level4_M_0_6002|Level4_M_0_6003|Level4_M_0_6004|Level4_M_0_6005|Level4_M_0_6006|Level4_M_0_6007|Level4_M_0_6008|Level4_M_0_6009</t>
  </si>
  <si>
    <t>Level4_M_1_1001|Level4_M_1_1002|Level4_M_1_1003|Level4_M_1_1004</t>
  </si>
  <si>
    <t>Level4_M_3_1001|Level4_M_3_1002|Level4_M_3_1003|Level4_M_3_1004</t>
  </si>
  <si>
    <t>Level4_M_4_1001|Level4_M_4_1002|Level4_M_4_1003|Level4_M_4_1004</t>
  </si>
  <si>
    <t>Level4_M_4_6001|Level4_M_4_6002|Level4_M_4_6003|Level4_M_4_6004</t>
  </si>
  <si>
    <t>Level5_M_0_1001|Level5_M_0_1002|Level5_M_0_1003|Level5_M_0_1004|Level5_M_0_1005</t>
  </si>
  <si>
    <t>Level5_E_2001|Level5_E_2002|Level5_E_2003|Level5_E_2004|Level5_E_2005|Level5_E_2006|Level5_E_2007|Level5_E_2008|Level5_E_2009|Level5_E_2010</t>
  </si>
  <si>
    <t>Level5_M_0_6001|Level5_M_0_6002|Level5_M_0_6003|Level5_M_0_6004</t>
  </si>
  <si>
    <t>Level5_M_9_1001|Level5_M_9_1002|Level5_M_9_1003|Level5_M_9_1004|Level5_M_9_1005</t>
  </si>
  <si>
    <t>Level5_M_1_1001|Level5_M_1_1002|Level5_M_1_1003|Level5_M_1_1004|Level5_M_1_1005</t>
  </si>
  <si>
    <t>Level5_M_1_6001|Level5_M_1_6002|Level5_M_1_6003|Level5_M_1_6004</t>
  </si>
  <si>
    <t>Level5_M_2_1001|Level5_M_2_1002|Level5_M_2_1003|Level5_M_2_1004</t>
  </si>
  <si>
    <t>Level5_M_2_6001|Level5_M_2_6002|Level5_M_2_6003</t>
  </si>
  <si>
    <t>Level5_M_3_1001|Level5_M_3_1002|Level5_M_3_1003|Level5_M_3_1004</t>
  </si>
  <si>
    <t>Level5_M_3_6001|Level5_M_3_6002|Level5_M_3_6003|Level5_M_3_6004</t>
  </si>
  <si>
    <t>Level5_M_4_1001|Level5_M_4_1002|Level5_M_4_1003|Level5_M_4_1004</t>
  </si>
  <si>
    <t>Level5_M_4_6001|Level5_M_4_6002|Level5_M_4_6003|Level5_M_4_6004</t>
  </si>
  <si>
    <t>Level6_E_2001|Level6_E_2002|Level6_E_2003|Level6_E_2004|Level6_E_2005|Level6_E_2006|Level6_E_2007|Level6_E_2008|Level6_E_2009|Level6_E_2010</t>
  </si>
  <si>
    <t>Level1_M_0_0001</t>
  </si>
  <si>
    <t>Level1_M_0_0002</t>
  </si>
  <si>
    <t>Level1_M_0_0003</t>
  </si>
  <si>
    <t>Level1_M_0_0004</t>
  </si>
  <si>
    <t>Level1_M_0_0006</t>
  </si>
  <si>
    <t>Level1_M_0_0007</t>
  </si>
  <si>
    <t>Level1_M_0_0008</t>
  </si>
  <si>
    <t>Level1_M_0_0009</t>
  </si>
  <si>
    <t>Level1_M_1_1007</t>
  </si>
  <si>
    <t>Level1_M_1_1009</t>
  </si>
  <si>
    <t>Level1_M_1_6001|Level1_M_1_6002|Level1_M_1_6004</t>
  </si>
  <si>
    <t>Level1_M_2_1005</t>
  </si>
  <si>
    <t>Level1_M_2_1006</t>
  </si>
  <si>
    <t>Level1_M_2_6001</t>
  </si>
  <si>
    <t>Level1_M_3_6001</t>
  </si>
  <si>
    <t>Level1_M_3_6004</t>
  </si>
  <si>
    <t>Level1_M_3_6008</t>
  </si>
  <si>
    <t>Level1_M_4_1006</t>
  </si>
  <si>
    <t>Level1_M_4_1007</t>
  </si>
  <si>
    <t>Level2_M_0_1001</t>
  </si>
  <si>
    <t>Level2_M_0_1002</t>
  </si>
  <si>
    <t>Level2_M_1_1005</t>
  </si>
  <si>
    <t>Level2_M_1_1006</t>
  </si>
  <si>
    <t>Level2_M_1_6001</t>
  </si>
  <si>
    <t>Level2_M_2_1005</t>
  </si>
  <si>
    <t>Level2_M_2_1006</t>
  </si>
  <si>
    <t>Level2_M_3_1001</t>
  </si>
  <si>
    <t>Level2_M_3_1005</t>
  </si>
  <si>
    <t>Level2_M_3_1007</t>
  </si>
  <si>
    <t>Level2_M_3_6007</t>
  </si>
  <si>
    <t>Level2_M_3_6008</t>
  </si>
  <si>
    <t>0</t>
    <phoneticPr fontId="35" type="noConversion"/>
  </si>
  <si>
    <t>Level2_M_4_6006|Level2_M_4_6005|Level2_M_4_6004|Level2_M_4_6003|Level2_M_4_6002|Level2_M_4_6001</t>
    <phoneticPr fontId="35" type="noConversion"/>
  </si>
  <si>
    <r>
      <t>Level2_M_4_600</t>
    </r>
    <r>
      <rPr>
        <sz val="11"/>
        <color indexed="8"/>
        <rFont val="宋体"/>
        <family val="3"/>
        <charset val="134"/>
      </rPr>
      <t>7</t>
    </r>
    <phoneticPr fontId="35" type="noConversion"/>
  </si>
  <si>
    <t>Attributes</t>
    <phoneticPr fontId="35" type="noConversion"/>
  </si>
  <si>
    <t>Level3_M_0_1001|Level3_M_0_2001</t>
    <phoneticPr fontId="35" type="noConversion"/>
  </si>
  <si>
    <t>Level3_M_0_3001|Level3_M_0_4001</t>
    <phoneticPr fontId="35" type="noConversion"/>
  </si>
  <si>
    <t>Level1_M_3_6001|Level1_M_3_6002|Level1_M_3_6003|Level1_M_3_6004|Level1_M_3_6005|Level1_M_3_6006|Level1_M_3_6007|Level1_M_3_6008|Level1_M_3_6009</t>
    <phoneticPr fontId="35" type="noConversion"/>
  </si>
  <si>
    <t>Level1_M_2_6005|Level1_M_2_6006|Level1_M_2_6007|Level1_M_2_6008</t>
    <phoneticPr fontId="35" type="noConversion"/>
  </si>
  <si>
    <t>INT</t>
    <phoneticPr fontId="35" type="noConversion"/>
  </si>
  <si>
    <t>FirstGoldAdd</t>
    <phoneticPr fontId="35" type="noConversion"/>
  </si>
  <si>
    <t>首次每层经验</t>
    <phoneticPr fontId="35" type="noConversion"/>
  </si>
  <si>
    <t>首次每层金币</t>
    <phoneticPr fontId="35" type="noConversion"/>
  </si>
  <si>
    <t>Level3_M_0_1001|Level3_M_0_2001</t>
    <phoneticPr fontId="35" type="noConversion"/>
  </si>
  <si>
    <t>Level3_M_0_5001|Level3_M_0_6001|Level3_M_0_7001</t>
    <phoneticPr fontId="35" type="noConversion"/>
  </si>
  <si>
    <t>Level3_M_0_8001</t>
    <phoneticPr fontId="35" type="noConversion"/>
  </si>
  <si>
    <t>OutPut</t>
    <phoneticPr fontId="35" type="noConversion"/>
  </si>
  <si>
    <t>INT</t>
    <phoneticPr fontId="35" type="noConversion"/>
  </si>
  <si>
    <t>MonsLv</t>
    <phoneticPr fontId="35" type="noConversion"/>
  </si>
  <si>
    <t>怪物等级</t>
    <phoneticPr fontId="35" type="noConversion"/>
  </si>
  <si>
    <t>Level4_M_1_9001|Level4_M_1_9002|Level4_M_1_9003</t>
  </si>
  <si>
    <t>Level4_M_1_1005|Level4_M_1_1006|Level4_M_1_1007|Level4_M_1_1008</t>
  </si>
  <si>
    <t>Level4_M_1_1005</t>
  </si>
  <si>
    <t>Level4_M_1_6001|Level4_M_1_6002|Level4_M_1_6003|Level4_M_1_6004|Level4_M_1_6005</t>
  </si>
  <si>
    <t>Level4_M_1_6001</t>
  </si>
  <si>
    <t>Level4_M_2_1001|Level4_M_2_1002|Level4_M_2_1003|Level4_M_2_1004</t>
  </si>
  <si>
    <t>Level4_M_2_1005|Level4_M_2_1006|Level4_M_2_1007|Level4_M_2_1008</t>
  </si>
  <si>
    <t>Level4_M_2_1005</t>
  </si>
  <si>
    <t>Level4_M_2_1006</t>
  </si>
  <si>
    <t>Level4_M_2_6001|Level4_M_2_6002|Level4_M_2_6003|Level4_M_2_6004|Level4_M_2_6005|Level4_M_2_6006|Level4_M_2_6007|Level4_M_2_6008</t>
  </si>
  <si>
    <t>Level4_M_2_9001|Level4_M_2_9002|Level4_M_2_9003</t>
  </si>
  <si>
    <t>Level4_M_3_1005|Level4_M_3_1006|Level4_M_3_1007|Level4_M_3_1008</t>
  </si>
  <si>
    <t>Level4_M_3_1005</t>
  </si>
  <si>
    <t>Level4_M_3_1006</t>
  </si>
  <si>
    <t>Level4_M_3_6001|Level4_M_3_6002|Level4_M_3_6003|Level4_M_3_6004|Level4_M_3_6005|Level4_M_3_6006</t>
  </si>
  <si>
    <t>Level4_M_0_1001</t>
  </si>
  <si>
    <t>Level4_M_0_1002</t>
  </si>
  <si>
    <t>Level4_M_0_1006|Level4_M_0_1007|Level4_M_0_1008|Level4_M_0_1009</t>
  </si>
  <si>
    <t>Level4_M_0_9001|Level4_M_0_9002|Level4_M_0_9003</t>
  </si>
  <si>
    <t>Level4_M_4_1001|Level4_M_4_1002|Level4_M_4_1003|Level4_M_4_1004</t>
    <phoneticPr fontId="35" type="noConversion"/>
  </si>
  <si>
    <r>
      <t>Level4_M_</t>
    </r>
    <r>
      <rPr>
        <sz val="11"/>
        <color indexed="8"/>
        <rFont val="宋体"/>
        <family val="3"/>
        <charset val="134"/>
      </rPr>
      <t>4</t>
    </r>
    <r>
      <rPr>
        <sz val="11"/>
        <color indexed="8"/>
        <rFont val="宋体"/>
        <family val="3"/>
        <charset val="134"/>
      </rPr>
      <t>_1005</t>
    </r>
    <phoneticPr fontId="35" type="noConversion"/>
  </si>
  <si>
    <t>Level4_M_4_1005|Level4_M_4_1006|Level4_M_4_1007</t>
    <phoneticPr fontId="35" type="noConversion"/>
  </si>
  <si>
    <t>Level4_M_4_6001|Level4_M_4_6002|Level4_M_4_6003|Level4_M_4_6004</t>
    <phoneticPr fontId="35" type="noConversion"/>
  </si>
  <si>
    <t>Level4_M_4_6001</t>
  </si>
  <si>
    <t>Level4_M_4_9001|Level4_M_4_9002|Level4_M_4_9003</t>
    <phoneticPr fontId="35" type="noConversion"/>
  </si>
  <si>
    <t>Level4_M_3_9001|Level4_M_3_9002|Level4_M_3_9003</t>
  </si>
  <si>
    <t>185</t>
    <phoneticPr fontId="35" type="noConversion"/>
  </si>
  <si>
    <t>190</t>
    <phoneticPr fontId="35" type="noConversion"/>
  </si>
  <si>
    <t>352</t>
    <phoneticPr fontId="35" type="noConversion"/>
  </si>
  <si>
    <t>540</t>
    <phoneticPr fontId="35" type="noConversion"/>
  </si>
  <si>
    <t>775</t>
    <phoneticPr fontId="35" type="noConversion"/>
  </si>
  <si>
    <t>1052</t>
    <phoneticPr fontId="35" type="noConversion"/>
  </si>
  <si>
    <t>185</t>
    <phoneticPr fontId="35" type="noConversion"/>
  </si>
  <si>
    <t>HPMax% + 10|Attack% - 35|BodyHit% - 45</t>
  </si>
  <si>
    <t>HPMax% + 40|Attack% - 10|BodyHit% - 30</t>
  </si>
  <si>
    <t>HPMax% + 70|Attack% - 10|BodyHit% - 30</t>
  </si>
  <si>
    <t>HPMax% + 105|Attack% - 5|BodyHit% - 25</t>
  </si>
  <si>
    <t>HPMax% + 140|Attack% - 5|BodyHit% - 25</t>
  </si>
  <si>
    <t>HPMax% + 200|Attack% + 5|BodyHit% - 15</t>
  </si>
  <si>
    <t>HPMax% + 260|Attack% + 5|BodyHit% - 15</t>
  </si>
  <si>
    <t>HPMax% + 320|Attack% + 15|BodyHit% + 0</t>
  </si>
  <si>
    <t>HPMax% + 35|Attack% + 5|BodyHit% - 10</t>
  </si>
  <si>
    <t>HPMax% + 105|Attack% + 5|BodyHit% - 10</t>
  </si>
  <si>
    <t>HPMax% + 170|Attack% + 30|BodyHit% + 5</t>
  </si>
  <si>
    <t>HPMax% + 240|Attack% + 65|BodyHit% + 35</t>
  </si>
  <si>
    <t>HPMax% + 330|Attack% + 65|BodyHit% + 35</t>
  </si>
  <si>
    <t>HPMax% + 420|Attack% + 105|BodyHit% + 65</t>
  </si>
  <si>
    <t>HPMax% + 250|Attack% + 215|BodyHit% + 150</t>
  </si>
  <si>
    <t>HPMax% + 380|Attack% + 215|BodyHit% + 150</t>
  </si>
  <si>
    <t>DropPreview</t>
    <phoneticPr fontId="35" type="noConversion"/>
  </si>
  <si>
    <t>掉落预览，只是表现。服务器不读</t>
    <phoneticPr fontId="35" type="noConversion"/>
  </si>
  <si>
    <t>HPMax% + 530|Attack% + 105|BodyHit% + 65</t>
  </si>
  <si>
    <t>HPMax% + 640|Attack% + 125|BodyHit% + 85</t>
  </si>
  <si>
    <t>HPMax% + 775|Attack% + 125|BodyHit% + 85</t>
  </si>
  <si>
    <t>HPMax% + 910|Attack% + 155|BodyHit% + 110</t>
  </si>
  <si>
    <t>HPMax% + 835|Attack% + 215|BodyHit% + 150</t>
  </si>
  <si>
    <t>HPMax% + 620|Attack% + 215|BodyHit% + 150</t>
  </si>
  <si>
    <t>HPMax% + 750|Attack% + 215|BodyHit% + 150</t>
  </si>
  <si>
    <t>HPMax% + 1295|Attack% + 270|BodyHit% + 195</t>
  </si>
  <si>
    <t>HPMax% + 990|Attack% + 270|BodyHit% + 195</t>
  </si>
  <si>
    <t>HPMax% + 1120|Attack% + 270|BodyHit% + 195</t>
  </si>
  <si>
    <t>HPMax% + 1675|Attack% + 365|BodyHit% + 270</t>
  </si>
  <si>
    <t>HPMax% + 1295|Attack% + 365|BodyHit% + 270</t>
  </si>
  <si>
    <t>HPMax% + 1400|Attack% + 365|BodyHit% + 270</t>
  </si>
  <si>
    <t>HPMax% + 2210|Attack% + 455|BodyHit% + 345</t>
  </si>
  <si>
    <t>HPMax% + 445|Attack% + 435|BodyHit% + 325</t>
  </si>
  <si>
    <t>HPMax% + 730|Attack% + 435|BodyHit% + 325</t>
  </si>
  <si>
    <t>HPMax% + 1015|Attack% + 435|BodyHit% + 325</t>
  </si>
  <si>
    <t>HPMax% + 1295|Attack% + 530|BodyHit% + 405</t>
  </si>
  <si>
    <t>HPMax% + 1675|Attack% + 530|BodyHit% + 405</t>
  </si>
  <si>
    <t>HPMax% + 2055|Attack% + 690|BodyHit% + 530</t>
  </si>
  <si>
    <t>HPMax% + 2525|Attack% + 690|BodyHit% + 530</t>
  </si>
  <si>
    <t>HPMax% + 3000|Attack% + 780|BodyHit% + 605</t>
  </si>
  <si>
    <t>HPMax% + 3565|Attack% + 780|BodyHit% + 605</t>
  </si>
  <si>
    <t>HPMax% + 4135|Attack% + 910|BodyHit% + 705</t>
  </si>
  <si>
    <t>HPMax% + 960|Attack% + 780|BodyHit% + 605</t>
  </si>
  <si>
    <t>HPMax% + 1500|Attack% + 780|BodyHit% + 605</t>
  </si>
  <si>
    <t>HPMax% + 2040|Attack% + 780|BodyHit% + 605</t>
  </si>
  <si>
    <t>HPMax% + 2580|Attack% + 940|BodyHit% + 730</t>
  </si>
  <si>
    <t>HPMax% + 3300|Attack% + 940|BodyHit% + 730</t>
  </si>
  <si>
    <t>HPMax% + 4020|Attack% + 1200|BodyHit% + 940</t>
  </si>
  <si>
    <t>HPMax% + 4920|Attack% + 1200|BodyHit% + 940</t>
  </si>
  <si>
    <t>HPMax% + 5820|Attack% + 1355|BodyHit% + 1060</t>
  </si>
  <si>
    <t>HPMax% + 6900|Attack% + 1355|BodyHit% + 1060</t>
  </si>
  <si>
    <t>HPMax% + 7980|Attack% + 1560|BodyHit% + 1230</t>
  </si>
  <si>
    <t>HPMax% + 2005|Attack% + 1275|BodyHit% + 1000</t>
  </si>
  <si>
    <t>HPMax% + 2755|Attack% + 1275|BodyHit% + 1000</t>
  </si>
  <si>
    <t>HPMax% + 5385|Attack% + 1275|BodyHit% + 1000</t>
  </si>
  <si>
    <t>HPMax% + 4135|Attack% + 1275|BodyHit% + 1000</t>
  </si>
  <si>
    <t>HPMax% + 4885|Attack% + 1275|BodyHit% + 1000</t>
  </si>
  <si>
    <t>HPMax% + 8015|Attack% + 1520|BodyHit% + 1195</t>
  </si>
  <si>
    <t>HPMax% + 6260|Attack% + 1520|BodyHit% + 1195</t>
  </si>
  <si>
    <t>HPMax% + 7010|Attack% + 1520|BodyHit% + 1195</t>
  </si>
  <si>
    <t>HPMax% + 10205|Attack% + 1925|BodyHit% + 1520</t>
  </si>
  <si>
    <t>HPMax% + 8015|Attack% + 1925|BodyHit% + 1520</t>
  </si>
  <si>
    <t>HPMax% + 8640|Attack% + 1925|BodyHit% + 1520</t>
  </si>
  <si>
    <t>HPMax% + 13270|Attack% + 2330|BodyHit% + 1845</t>
  </si>
  <si>
    <t>13;813;812;811;1;30101;30102;30103</t>
    <phoneticPr fontId="35" type="noConversion"/>
  </si>
  <si>
    <t>13;823;822;821;1;30101;30102;30103</t>
    <phoneticPr fontId="35" type="noConversion"/>
  </si>
  <si>
    <t>13;833;832;831;1;30101;30102;30103</t>
    <phoneticPr fontId="35" type="noConversion"/>
  </si>
  <si>
    <t>13;843;842;841;1;30101;30102;30103</t>
    <phoneticPr fontId="35" type="noConversion"/>
  </si>
  <si>
    <t>13;854;853;852;851;1;30101;30102;30103</t>
    <phoneticPr fontId="35" type="noConversion"/>
  </si>
  <si>
    <t>13;864;863;862;861;1;30101;30102;30103</t>
    <phoneticPr fontId="35" type="noConversion"/>
  </si>
  <si>
    <t>Level1_B_0_101406</t>
    <phoneticPr fontId="35" type="noConversion"/>
  </si>
  <si>
    <t>Level1_B_0_101404|Level1_B_0_101405</t>
    <phoneticPr fontId="35" type="noConversion"/>
  </si>
  <si>
    <t>Level1_B_0_101403|Level1_B_0_101404|Level1_B_0_101405</t>
    <phoneticPr fontId="35" type="noConversion"/>
  </si>
  <si>
    <t>Level1_B_0_101407</t>
    <phoneticPr fontId="35" type="noConversion"/>
  </si>
  <si>
    <t>Level2_B_0_102401</t>
    <phoneticPr fontId="35" type="noConversion"/>
  </si>
  <si>
    <t>Level2_B_0_102402|Level2_B_0_102403|Level2_B_0_102404|Level2_B_0_102405</t>
    <phoneticPr fontId="35" type="noConversion"/>
  </si>
  <si>
    <t>Level3_B_0_103401</t>
    <phoneticPr fontId="35" type="noConversion"/>
  </si>
  <si>
    <t>Level4_B_0_104401</t>
    <phoneticPr fontId="35" type="noConversion"/>
  </si>
  <si>
    <t>150;101|0;102|30;1001</t>
  </si>
  <si>
    <t>1500;102|700;103|0;104|500;1002&amp;10000;1500</t>
  </si>
  <si>
    <t>1500;102|700;103|0;104|500;1002&amp;5000;1500</t>
  </si>
  <si>
    <t>10000;1599</t>
  </si>
  <si>
    <t>150;201|0;202|30;1001</t>
  </si>
  <si>
    <t>1500;202|700;203|0;204|500;1002&amp;10000;1500</t>
  </si>
  <si>
    <t>1500;202|700;203|0;204|500;1002&amp;5000;1500</t>
  </si>
  <si>
    <t>170;301|0;302|900;2001</t>
  </si>
  <si>
    <t>1500;302|700;303|0;304|900;2002|10000;1500</t>
  </si>
  <si>
    <t>1500;302|700;303|0;304|900;2002|6700;1500</t>
  </si>
  <si>
    <t>150;401|0;402|300;1001</t>
  </si>
  <si>
    <t>1500;402|700;403|0;404|500;1002&amp;10000;1500</t>
  </si>
  <si>
    <t>1500;402|700;403|0;404|500;1002&amp;5000;1500</t>
  </si>
  <si>
    <t>150;501|0;502|300;1001</t>
  </si>
  <si>
    <t>1500;502|200;503|80;504|500;1002&amp;10000;1500</t>
  </si>
  <si>
    <t>1500;502|200;503|80;504|500;1002&amp;5000;1500</t>
  </si>
  <si>
    <t>170;601|0;602|900;2001</t>
  </si>
  <si>
    <t>1500;602|250;603|100;604|900;2002|10000;1500</t>
  </si>
  <si>
    <t>1500;602|250;603|100;604|900;2002|6700;1500</t>
  </si>
  <si>
    <t>Level6_B_0_106402|Level6_B_0_106403|Level6_B_0_106404</t>
    <phoneticPr fontId="35" type="noConversion"/>
  </si>
  <si>
    <t>Level6_B_0_106401</t>
    <phoneticPr fontId="35" type="noConversion"/>
  </si>
  <si>
    <t>HPMax% - 50|Attack% - 45|BodyHit% - 55</t>
    <phoneticPr fontId="35" type="noConversion"/>
  </si>
  <si>
    <t>HPMax% + 960|Attack% + 780|BodyHit% + 605</t>
    <phoneticPr fontId="35" type="noConversion"/>
  </si>
  <si>
    <t>HPMax% + 960|Attack% + 780|BodyHit% + 605</t>
    <phoneticPr fontId="35" type="noConversion"/>
  </si>
  <si>
    <t>HPMax% - 20|Attack% - 45|BodyHit% - 55</t>
  </si>
  <si>
    <t>HPMax% - 20|Attack% - 45|BodyHit% - 55</t>
    <phoneticPr fontId="35" type="noConversion"/>
  </si>
  <si>
    <t>Level5_B_0_105407</t>
    <phoneticPr fontId="35" type="noConversion"/>
  </si>
  <si>
    <t>Level1_B_0_101405|Level1_B_0_101403|Level1_B_0_101404</t>
    <phoneticPr fontId="35" type="noConversion"/>
  </si>
  <si>
    <t>Level2_B_0_102403|Level2_B_0_102402|Level2_B_0_102404|Level2_B_0_102405</t>
  </si>
  <si>
    <t>Level2_B_0_102404|Level2_B_0_102402|Level2_B_0_102403|Level2_B_0_102405</t>
  </si>
  <si>
    <t>Level2_B_0_102405|Level2_B_0_102402|Level2_B_0_102403|Level2_B_0_102404</t>
    <phoneticPr fontId="35" type="noConversion"/>
  </si>
  <si>
    <t>Level3_B_0_103403|Level3_B_0_103402|Level3_B_0_103404</t>
  </si>
  <si>
    <t>Level3_B_0_103404|Level3_B_0_103402|Level3_B_0_103403</t>
  </si>
  <si>
    <t>Level4_B_0_104403|Level4_B_0_104402|Level4_B_0_104404|Level4_B_0_104405</t>
  </si>
  <si>
    <t>Level4_B_0_104404|Level4_B_0_104402|Level4_B_0_104403|Level4_B_0_104405</t>
    <phoneticPr fontId="35" type="noConversion"/>
  </si>
  <si>
    <t>Level4_B_0_104405|Level4_B_0_104402|Level4_B_0_104403|Level4_B_0_104404</t>
    <phoneticPr fontId="35" type="noConversion"/>
  </si>
  <si>
    <t>Level5_B_0_105401|Level5_B_0_105406|Level5_B_0_105408|Level5_B_0_105409</t>
    <phoneticPr fontId="35" type="noConversion"/>
  </si>
  <si>
    <t>Level6_B_0_106403|Level6_B_0_106402|Level6_B_0_106404</t>
    <phoneticPr fontId="35" type="noConversion"/>
  </si>
  <si>
    <t>Level6_B_0_106404|Level6_B_0_106402|Level6_B_0_106403</t>
    <phoneticPr fontId="35" type="noConversion"/>
  </si>
  <si>
    <t>Level3_B_0_103402|Level3_B_0_103403|Level3_B_0_103404</t>
  </si>
  <si>
    <t>Level4_B_0_104402|Level4_B_0_104403|Level4_B_0_104404|Level4_B_0_104405</t>
  </si>
  <si>
    <t>Level5_B_0_105409|Level5_B_0_105406|Level5_B_0_105401|Level5_B_0_105408</t>
    <phoneticPr fontId="35" type="noConversion"/>
  </si>
  <si>
    <t>Level5_B_0_105406|Level5_B_0_105408|Level5_B_0_105401|Level5_B_0_105409</t>
    <phoneticPr fontId="35" type="noConversion"/>
  </si>
  <si>
    <t>Level5_B_0_105408|Level5_B_0_105406|Level5_B_0_105401|Level5_B_0_105409</t>
    <phoneticPr fontId="35" type="noConversion"/>
  </si>
  <si>
    <t>Level2_M_4_9003|Level2_M_4_9002|Level2_M_4_9001</t>
    <phoneticPr fontId="35" type="noConversion"/>
  </si>
  <si>
    <t>50</t>
    <phoneticPr fontId="35" type="noConversion"/>
  </si>
  <si>
    <t>20</t>
    <phoneticPr fontId="35" type="noConversion"/>
  </si>
  <si>
    <t>level7_E_2001|level7_E_2002|level7_E_2003|level7_E_2004|level7_E_2005|level7_E_2006|level7_E_2007|level7_E_2008|level7_E_2009|level7_E_2010</t>
  </si>
  <si>
    <t>level7_M_0_6001|level7_M_0_6002|level7_M_0_6003|level7_M_0_6004</t>
  </si>
  <si>
    <t>level7_M_1_6001|level7_M_1_6002|level7_M_1_6003|level7_M_1_6004</t>
  </si>
  <si>
    <t>level7_M_2_6001|level7_M_2_6002|level7_M_2_6003</t>
  </si>
  <si>
    <t>level7_M_3_1001|level7_M_3_1002|level7_M_3_1003|level7_M_3_1004</t>
  </si>
  <si>
    <t>level7_M_3_6001|level7_M_3_6002|level7_M_3_6003|level7_M_3_6004</t>
  </si>
  <si>
    <t>level7_M_4_1001|level7_M_4_1002|level7_M_4_1003|level7_M_4_1004</t>
  </si>
  <si>
    <t>level7_M_4_6001|level7_M_4_6002|level7_M_4_6003|level7_M_4_6004</t>
  </si>
  <si>
    <t>HPMax% + 3930|Attack% + 2015|BodyHit% + 1590</t>
  </si>
  <si>
    <t>HPMax% + 5550|Attack% + 2015|BodyHit% + 1590</t>
  </si>
  <si>
    <t>HPMax% + 7175|Attack% + 2015|BodyHit% + 1590</t>
  </si>
  <si>
    <t>HPMax% + 8795|Attack% + 2390|BodyHit% + 1890</t>
  </si>
  <si>
    <t>HPMax% + 10955|Attack% + 2390|BodyHit% + 1890</t>
  </si>
  <si>
    <t>HPMax% + 13120|Attack% + 3010|BodyHit% + 2390</t>
  </si>
  <si>
    <t>HPMax% + 15820|Attack% + 3010|BodyHit% + 2390</t>
  </si>
  <si>
    <t>HPMax% + 18525|Attack% + 3385|BodyHit% + 2685</t>
  </si>
  <si>
    <t>HPMax% + 21765|Attack% + 3385|BodyHit% + 2685</t>
  </si>
  <si>
    <t>HPMax% + 25010|Attack% + 3880|BodyHit% + 3085</t>
  </si>
  <si>
    <t>HPMax% + 6320|Attack% + 3070|BodyHit% + 2435</t>
  </si>
  <si>
    <t>HPMax% + 8895|Attack% + 3070|BodyHit% + 2435</t>
  </si>
  <si>
    <t>HPMax% + 11470|Attack% + 3070|BodyHit% + 2435</t>
  </si>
  <si>
    <t>HPMax% + 14045|Attack% + 3635|BodyHit% + 2885</t>
  </si>
  <si>
    <t>HPMax% + 17480|Attack% + 3635|BodyHit% + 2885</t>
  </si>
  <si>
    <t>HPMax% + 20915|Attack% + 4565|BodyHit% + 3635</t>
  </si>
  <si>
    <t>HPMax% + 25210|Attack% + 4565|BodyHit% + 3635</t>
  </si>
  <si>
    <t>HPMax% + 29505|Attack% + 5125|BodyHit% + 4080</t>
  </si>
  <si>
    <t>HPMax% + 34655|Attack% + 5125|BodyHit% + 4080</t>
  </si>
  <si>
    <t>HPMax% + 39810|Attack% + 5875|BodyHit% + 4680</t>
  </si>
  <si>
    <t>level8_E_2001|level8_E_2002|level8_E_2003|level8_E_2004|level8_E_2005|level8_E_2006|level8_E_2007|level8_E_2008|level8_E_2009|level8_E_2010</t>
  </si>
  <si>
    <t>level8_M_3_6001|level8_M_3_6002|level8_M_3_6003|level8_M_3_6004</t>
  </si>
  <si>
    <t>0701|0702|0703</t>
    <phoneticPr fontId="35" type="noConversion"/>
  </si>
  <si>
    <t>0801|0802|0803</t>
    <phoneticPr fontId="35" type="noConversion"/>
  </si>
  <si>
    <t>150;701|0;702|300;1001</t>
  </si>
  <si>
    <t>1500;702|200;703|80;704|500;1002&amp;10000;1500</t>
  </si>
  <si>
    <t>1500;702|200;703|80;704|500;1002&amp;5000;1500</t>
  </si>
  <si>
    <t>150;801|0;802|300;1001</t>
  </si>
  <si>
    <t>1500;802|200;803|80;804|500;1002&amp;10000;1500</t>
  </si>
  <si>
    <t>1500;802|200;803|80;804|500;1002&amp;5000;1500</t>
  </si>
  <si>
    <t>level7_B_0_107402|level7_B_0_107403|level7_B_0_107404|level7_B_0_107405</t>
  </si>
  <si>
    <t>level7_B_0_107401</t>
    <phoneticPr fontId="35" type="noConversion"/>
  </si>
  <si>
    <t>level8_B_0_108402|level8_B_0_108403|level8_B_0_108404|level8_B_0_108405</t>
    <phoneticPr fontId="35" type="noConversion"/>
  </si>
  <si>
    <t>level8_M_1_1001|level8_M_1_1002|level8_M_1_1003|level8_M_1_1004|level8_M_1_1005|level8_M_1_1006|level8_M_1_1007</t>
    <phoneticPr fontId="35" type="noConversion"/>
  </si>
  <si>
    <t>level8_M_1_6001|level8_M_1_6002|level8_M_1_6003|level8_M_1_6004|level8_M_1_6005</t>
    <phoneticPr fontId="35" type="noConversion"/>
  </si>
  <si>
    <t>level8_M_4_6001|level8_M_4_6002|level8_M_4_6003</t>
    <phoneticPr fontId="35" type="noConversion"/>
  </si>
  <si>
    <t>level8_M_4_6001|level8_M_4_6002|level8_M_4_6003</t>
    <phoneticPr fontId="35" type="noConversion"/>
  </si>
  <si>
    <t>level8_M_4_6001|level8_M_4_6002|level8_M_4_6003</t>
    <phoneticPr fontId="35" type="noConversion"/>
  </si>
  <si>
    <t>level8_M_9_1001</t>
    <phoneticPr fontId="35" type="noConversion"/>
  </si>
  <si>
    <t>level8_M_9_1002</t>
    <phoneticPr fontId="35" type="noConversion"/>
  </si>
  <si>
    <t>level8_M_9_1003</t>
    <phoneticPr fontId="35" type="noConversion"/>
  </si>
  <si>
    <t>level8_M_9_1004</t>
    <phoneticPr fontId="35" type="noConversion"/>
  </si>
  <si>
    <t>level8_M_9_1005</t>
    <phoneticPr fontId="35" type="noConversion"/>
  </si>
  <si>
    <t>level8_B_0_108401</t>
    <phoneticPr fontId="35" type="noConversion"/>
  </si>
  <si>
    <t>1385</t>
    <phoneticPr fontId="35" type="noConversion"/>
  </si>
  <si>
    <t>1855</t>
    <phoneticPr fontId="35" type="noConversion"/>
  </si>
  <si>
    <t>level8_M_0_1001|level8_M_0_1002|level8_M_0_1003|level8_M_0_1004|level8_M_0_1005|level8_M_0_1006|level8_M_0_1007</t>
    <phoneticPr fontId="35" type="noConversion"/>
  </si>
  <si>
    <t>level8_M_0_1001|level8_M_0_1002|level8_M_0_1003|level8_M_0_1004|level8_M_0_1005|level8_M_0_1006|level8_M_0_1007</t>
    <phoneticPr fontId="35" type="noConversion"/>
  </si>
  <si>
    <t>level8_M_0_1001|level8_M_0_1002|level8_M_0_1005|level8_M_0_1006</t>
    <phoneticPr fontId="35" type="noConversion"/>
  </si>
  <si>
    <t>level8_M_1_1001|level8_M_1_1002|level8_M_1_1005</t>
    <phoneticPr fontId="35" type="noConversion"/>
  </si>
  <si>
    <t>level8_M_1_6001|level8_M_1_6002|level8_M_1_6003|level8_M_1_6004|level8_M_1_6005</t>
    <phoneticPr fontId="35" type="noConversion"/>
  </si>
  <si>
    <t>level8_M_1_6001|level8_M_1_6002</t>
    <phoneticPr fontId="35" type="noConversion"/>
  </si>
  <si>
    <t>level8_M_2_1001</t>
    <phoneticPr fontId="35" type="noConversion"/>
  </si>
  <si>
    <t>level8_M_2_1001|level8_M_2_1002|level8_M_2_1003|level8_M_2_1004|level8_M_2_1005</t>
    <phoneticPr fontId="35" type="noConversion"/>
  </si>
  <si>
    <t>level8_M_2_1001|level8_M_2_1002|level8_M_2_1003|level8_M_2_1004|level8_M_2_1005</t>
    <phoneticPr fontId="35" type="noConversion"/>
  </si>
  <si>
    <t>level8_M_2_1006</t>
    <phoneticPr fontId="35" type="noConversion"/>
  </si>
  <si>
    <t>level8_M_2_6001|level8_M_2_6002|level8_M_2_6003|level8_M_2_6004</t>
    <phoneticPr fontId="35" type="noConversion"/>
  </si>
  <si>
    <t>level8_E_2001|level8_E_2002|level8_E_2003|level8_E_2004|level8_E_2005|level8_E_2006|level8_E_2007|level8_E_2008|level8_E_2009|level8_E_2010</t>
    <phoneticPr fontId="35" type="noConversion"/>
  </si>
  <si>
    <t>level8_M_2_6001|level8_M_2_6002|level8_M_2_6003</t>
    <phoneticPr fontId="35" type="noConversion"/>
  </si>
  <si>
    <t>level8_M_2_6001|level8_M_2_6002|level8_M_2_6003</t>
    <phoneticPr fontId="35" type="noConversion"/>
  </si>
  <si>
    <t>level8_M_3_6001|level8_M_3_6002|level8_M_3_6003|level8_M_3_6004</t>
    <phoneticPr fontId="35" type="noConversion"/>
  </si>
  <si>
    <t>level8_M_3_6001|level8_M_3_6002|level8_M_3_6004</t>
    <phoneticPr fontId="35" type="noConversion"/>
  </si>
  <si>
    <t>level8_M_4_1001|level8_M_4_1002</t>
    <phoneticPr fontId="35" type="noConversion"/>
  </si>
  <si>
    <t>level8_M_4_1001|level8_M_4_1002</t>
    <phoneticPr fontId="35" type="noConversion"/>
  </si>
  <si>
    <t>level8_M_4_1003|level8_M_4_1004</t>
    <phoneticPr fontId="35" type="noConversion"/>
  </si>
  <si>
    <t>level8_M_3_1001|level8_M_3_1002</t>
    <phoneticPr fontId="35" type="noConversion"/>
  </si>
  <si>
    <t>level8_M_3_1001|level8_M_3_1002</t>
    <phoneticPr fontId="35" type="noConversion"/>
  </si>
  <si>
    <t>level8_M_3_1003|level8_M_3_1004</t>
    <phoneticPr fontId="35" type="noConversion"/>
  </si>
  <si>
    <t>level8_M_3_1003|level8_M_3_1004</t>
    <phoneticPr fontId="35" type="noConversion"/>
  </si>
  <si>
    <t>level7_M_0_1001|level7_M_0_1002</t>
    <phoneticPr fontId="35" type="noConversion"/>
  </si>
  <si>
    <t>level7_M_0_1001|level7_M_0_1002</t>
    <phoneticPr fontId="35" type="noConversion"/>
  </si>
  <si>
    <t>level7_M_1_1001|level7_M_1_1002</t>
    <phoneticPr fontId="35" type="noConversion"/>
  </si>
  <si>
    <t>level7_M_1_1001|level7_M_1_1002</t>
    <phoneticPr fontId="35" type="noConversion"/>
  </si>
  <si>
    <t>level7_M_1_1003|level7_M_1_1004|level7_M_1_1005</t>
    <phoneticPr fontId="35" type="noConversion"/>
  </si>
  <si>
    <t>level7_M_1_1003|level7_M_1_1004|level7_M_1_1005</t>
    <phoneticPr fontId="35" type="noConversion"/>
  </si>
  <si>
    <t>level7_M_9_1001</t>
    <phoneticPr fontId="35" type="noConversion"/>
  </si>
  <si>
    <t>level7_M_9_1002</t>
    <phoneticPr fontId="35" type="noConversion"/>
  </si>
  <si>
    <t>level7_M_9_1003</t>
    <phoneticPr fontId="35" type="noConversion"/>
  </si>
  <si>
    <t>level7_M_9_1004</t>
    <phoneticPr fontId="35" type="noConversion"/>
  </si>
  <si>
    <t>level7_M_9_1005</t>
    <phoneticPr fontId="35" type="noConversion"/>
  </si>
  <si>
    <t>level7_M_2_1001|level7_M_2_1002</t>
    <phoneticPr fontId="35" type="noConversion"/>
  </si>
  <si>
    <t>level7_M_2_1003|level7_M_2_1004</t>
    <phoneticPr fontId="35" type="noConversion"/>
  </si>
  <si>
    <t>level7_B_0_107402|level7_B_0_107403|level7_B_0_107404|level7_B_0_107405</t>
    <phoneticPr fontId="35" type="noConversion"/>
  </si>
  <si>
    <t>level7_E_2001|level7_E_2002|level7_E_2003|level7_E_2004|level7_E_2005|level7_E_2006|level7_E_2007|level7_E_2008|level7_E_2009|level7_E_2010</t>
    <phoneticPr fontId="35" type="noConversion"/>
  </si>
  <si>
    <t>level7_M_0_1001|level7_M_0_1002|level7_M_0_1003|level7_M_0_1004|level7_M_0_1005</t>
    <phoneticPr fontId="35" type="noConversion"/>
  </si>
  <si>
    <t>level7_M_0_1001|level7_M_0_1002|level7_M_0_1003|level7_M_0_1004|level7_M_0_1005</t>
    <phoneticPr fontId="35" type="noConversion"/>
  </si>
  <si>
    <t>Level6_E_2001|Level6_E_2002|Level6_E_2003|Level6_E_2004|Level6_E_2005|Level6_E_2006|Level6_E_2007|Level6_E_2008|Level6_E_2009|Level6_E_2010</t>
    <phoneticPr fontId="35" type="noConversion"/>
  </si>
  <si>
    <t>Level6_M_0_1001</t>
    <phoneticPr fontId="35" type="noConversion"/>
  </si>
  <si>
    <t>Level6_M_0_2001</t>
    <phoneticPr fontId="35" type="noConversion"/>
  </si>
  <si>
    <t>Level6_M_0_3001</t>
    <phoneticPr fontId="35" type="noConversion"/>
  </si>
  <si>
    <t>Level6_M_0_4001</t>
    <phoneticPr fontId="35" type="noConversion"/>
  </si>
  <si>
    <t>Level6_M_0_5001|Level6_M_0_6001</t>
    <phoneticPr fontId="35" type="noConversion"/>
  </si>
  <si>
    <t>Level6_M_0_5001|Level6_M_0_6001</t>
    <phoneticPr fontId="35" type="noConversion"/>
  </si>
  <si>
    <t>Level6_M_0_7001|Level6_M_0_8001</t>
    <phoneticPr fontId="35" type="noConversion"/>
  </si>
  <si>
    <t>level8_M_0_6001|level8_M_0_6002|level8_M_0_6003|level8_M_0_6004|level8_M_0_6006|level8_M_0_6007</t>
    <phoneticPr fontId="35" type="noConversion"/>
  </si>
  <si>
    <t>150;101|0;102|30;1001</t>
    <phoneticPr fontId="35" type="noConversion"/>
  </si>
  <si>
    <t>150;101|0;102|30;1001</t>
    <phoneticPr fontId="35" type="noConversion"/>
  </si>
  <si>
    <t>102001</t>
    <phoneticPr fontId="35" type="noConversion"/>
  </si>
  <si>
    <t>*</t>
    <phoneticPr fontId="35" type="noConversion"/>
  </si>
  <si>
    <t>INT</t>
    <phoneticPr fontId="35" type="noConversion"/>
  </si>
  <si>
    <t>TriggerEncouragePkg</t>
    <phoneticPr fontId="35" type="noConversion"/>
  </si>
  <si>
    <t>i</t>
    <phoneticPr fontId="35" type="noConversion"/>
  </si>
  <si>
    <t>触发特惠礼包失败次数</t>
    <phoneticPr fontId="3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</si>
</sst>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_ [$¥-804]* #,##0.000_ ;_ [$¥-804]* \-#,##0.000_ ;_ [$¥-804]* &quot;-&quot;??_ ;_ @_ "/>
  </numFmts>
  <fonts count="37" x14ac:knownFonts="1">
    <font>
      <sz val="11"/>
      <color indexed="8"/>
      <name val="宋体"/>
      <charset val="134"/>
    </font>
    <font>
      <sz val="8"/>
      <color indexed="8"/>
      <name val="微软雅黑"/>
      <family val="2"/>
      <charset val="134"/>
    </font>
    <font>
      <b/>
      <sz val="8"/>
      <name val="微软雅黑"/>
      <family val="2"/>
      <charset val="134"/>
    </font>
    <font>
      <b/>
      <sz val="9"/>
      <color theme="0"/>
      <name val="微软雅黑"/>
      <family val="2"/>
      <charset val="134"/>
    </font>
    <font>
      <b/>
      <sz val="8"/>
      <color indexed="42"/>
      <name val="微软雅黑"/>
      <family val="2"/>
      <charset val="134"/>
    </font>
    <font>
      <sz val="8"/>
      <color indexed="42"/>
      <name val="微软雅黑"/>
      <family val="2"/>
      <charset val="134"/>
    </font>
    <font>
      <sz val="10"/>
      <color theme="1"/>
      <name val="宋体"/>
      <family val="3"/>
      <charset val="134"/>
      <scheme val="minor"/>
    </font>
    <font>
      <sz val="10"/>
      <color rgb="FFFF0000"/>
      <name val="宋体"/>
      <family val="3"/>
      <charset val="134"/>
      <scheme val="minor"/>
    </font>
    <font>
      <sz val="10"/>
      <color indexed="8"/>
      <name val="微软雅黑"/>
      <family val="2"/>
      <charset val="134"/>
    </font>
    <font>
      <sz val="10"/>
      <color rgb="FFFF0000"/>
      <name val="微软雅黑"/>
      <family val="2"/>
      <charset val="134"/>
    </font>
    <font>
      <sz val="11"/>
      <color rgb="FFFF0000"/>
      <name val="宋体"/>
      <family val="3"/>
      <charset val="134"/>
    </font>
    <font>
      <sz val="8"/>
      <color rgb="FFFF0000"/>
      <name val="微软雅黑"/>
      <family val="2"/>
      <charset val="134"/>
    </font>
    <font>
      <sz val="11"/>
      <color indexed="8"/>
      <name val="宋体"/>
      <family val="3"/>
      <charset val="134"/>
    </font>
    <font>
      <sz val="10"/>
      <name val="宋体"/>
      <family val="3"/>
      <charset val="134"/>
      <scheme val="minor"/>
    </font>
    <font>
      <sz val="9"/>
      <color theme="1"/>
      <name val="微软雅黑"/>
      <family val="2"/>
      <charset val="134"/>
    </font>
    <font>
      <sz val="11"/>
      <color indexed="8"/>
      <name val="微软雅黑"/>
      <family val="2"/>
      <charset val="134"/>
    </font>
    <font>
      <b/>
      <sz val="11"/>
      <color indexed="42"/>
      <name val="微软雅黑"/>
      <family val="2"/>
      <charset val="134"/>
    </font>
    <font>
      <sz val="11"/>
      <color indexed="12"/>
      <name val="微软雅黑"/>
      <family val="2"/>
      <charset val="134"/>
    </font>
    <font>
      <u/>
      <sz val="11"/>
      <color indexed="12"/>
      <name val="宋体"/>
      <family val="3"/>
      <charset val="134"/>
    </font>
    <font>
      <sz val="9"/>
      <color indexed="42"/>
      <name val="微软雅黑"/>
      <family val="2"/>
      <charset val="134"/>
    </font>
    <font>
      <b/>
      <sz val="9"/>
      <color indexed="42"/>
      <name val="微软雅黑"/>
      <family val="2"/>
      <charset val="134"/>
    </font>
    <font>
      <i/>
      <sz val="9"/>
      <color indexed="23"/>
      <name val="微软雅黑"/>
      <family val="2"/>
      <charset val="134"/>
    </font>
    <font>
      <b/>
      <sz val="9"/>
      <color indexed="63"/>
      <name val="微软雅黑"/>
      <family val="2"/>
      <charset val="134"/>
    </font>
    <font>
      <sz val="9"/>
      <color indexed="62"/>
      <name val="微软雅黑"/>
      <family val="2"/>
      <charset val="134"/>
    </font>
    <font>
      <sz val="9"/>
      <color indexed="52"/>
      <name val="微软雅黑"/>
      <family val="2"/>
      <charset val="134"/>
    </font>
    <font>
      <sz val="9"/>
      <color indexed="8"/>
      <name val="微软雅黑"/>
      <family val="2"/>
      <charset val="134"/>
    </font>
    <font>
      <b/>
      <sz val="9"/>
      <color indexed="52"/>
      <name val="微软雅黑"/>
      <family val="2"/>
      <charset val="134"/>
    </font>
    <font>
      <b/>
      <sz val="13"/>
      <color indexed="62"/>
      <name val="微软雅黑"/>
      <family val="2"/>
      <charset val="134"/>
    </font>
    <font>
      <b/>
      <sz val="15"/>
      <color indexed="62"/>
      <name val="微软雅黑"/>
      <family val="2"/>
      <charset val="134"/>
    </font>
    <font>
      <sz val="9"/>
      <color indexed="60"/>
      <name val="微软雅黑"/>
      <family val="2"/>
      <charset val="134"/>
    </font>
    <font>
      <b/>
      <sz val="18"/>
      <color indexed="62"/>
      <name val="宋体"/>
      <family val="3"/>
      <charset val="134"/>
    </font>
    <font>
      <b/>
      <sz val="9"/>
      <color indexed="8"/>
      <name val="微软雅黑"/>
      <family val="2"/>
      <charset val="134"/>
    </font>
    <font>
      <b/>
      <sz val="11"/>
      <color indexed="62"/>
      <name val="微软雅黑"/>
      <family val="2"/>
      <charset val="134"/>
    </font>
    <font>
      <sz val="9"/>
      <color indexed="10"/>
      <name val="微软雅黑"/>
      <family val="2"/>
      <charset val="134"/>
    </font>
    <font>
      <sz val="9"/>
      <color indexed="17"/>
      <name val="微软雅黑"/>
      <family val="2"/>
      <charset val="134"/>
    </font>
    <font>
      <sz val="9"/>
      <name val="宋体"/>
      <family val="3"/>
      <charset val="134"/>
    </font>
    <font>
      <b/>
      <sz val="8"/>
      <color indexed="42"/>
      <name val="微软雅黑"/>
      <family val="2"/>
      <charset val="134"/>
    </font>
  </fonts>
  <fills count="24">
    <fill>
      <patternFill patternType="none"/>
    </fill>
    <fill>
      <patternFill patternType="gray125"/>
    </fill>
    <fill>
      <patternFill patternType="solid">
        <fgColor indexed="5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53"/>
        <bgColor indexed="64"/>
      </patternFill>
    </fill>
  </fills>
  <borders count="11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44"/>
      </bottom>
      <diagonal/>
    </border>
    <border>
      <left/>
      <right/>
      <top/>
      <bottom style="thick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medium">
        <color indexed="4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319">
    <xf numFmtId="0" fontId="0" fillId="0" borderId="0">
      <alignment vertical="center"/>
    </xf>
    <xf numFmtId="0" fontId="24" fillId="0" borderId="5" applyNumberFormat="0" applyFill="0" applyAlignment="0" applyProtection="0">
      <alignment vertical="center"/>
    </xf>
    <xf numFmtId="0" fontId="25" fillId="18" borderId="0" applyNumberFormat="0" applyBorder="0" applyAlignment="0" applyProtection="0">
      <alignment vertical="center"/>
    </xf>
    <xf numFmtId="0" fontId="22" fillId="14" borderId="3" applyNumberFormat="0" applyAlignment="0" applyProtection="0">
      <alignment vertical="center"/>
    </xf>
    <xf numFmtId="0" fontId="19" fillId="11" borderId="0" applyNumberFormat="0" applyBorder="0" applyAlignment="0" applyProtection="0">
      <alignment vertical="center"/>
    </xf>
    <xf numFmtId="0" fontId="26" fillId="14" borderId="4" applyNumberFormat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25" fillId="18" borderId="0" applyNumberFormat="0" applyBorder="0" applyAlignment="0" applyProtection="0">
      <alignment vertical="center"/>
    </xf>
    <xf numFmtId="0" fontId="19" fillId="9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176" fontId="12" fillId="0" borderId="0">
      <alignment vertical="center"/>
    </xf>
    <xf numFmtId="0" fontId="19" fillId="17" borderId="0" applyNumberFormat="0" applyBorder="0" applyAlignment="0" applyProtection="0">
      <alignment vertical="center"/>
    </xf>
    <xf numFmtId="0" fontId="25" fillId="19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176" fontId="12" fillId="0" borderId="0">
      <alignment vertical="center"/>
    </xf>
    <xf numFmtId="0" fontId="19" fillId="17" borderId="0" applyNumberFormat="0" applyBorder="0" applyAlignment="0" applyProtection="0">
      <alignment vertical="center"/>
    </xf>
    <xf numFmtId="0" fontId="25" fillId="19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6" fillId="14" borderId="4" applyNumberFormat="0" applyAlignment="0" applyProtection="0">
      <alignment vertical="center"/>
    </xf>
    <xf numFmtId="0" fontId="25" fillId="19" borderId="0" applyNumberFormat="0" applyBorder="0" applyAlignment="0" applyProtection="0">
      <alignment vertical="center"/>
    </xf>
    <xf numFmtId="0" fontId="34" fillId="15" borderId="0" applyNumberFormat="0" applyBorder="0" applyAlignment="0" applyProtection="0">
      <alignment vertical="center"/>
    </xf>
    <xf numFmtId="0" fontId="25" fillId="18" borderId="0" applyNumberFormat="0" applyBorder="0" applyAlignment="0" applyProtection="0">
      <alignment vertical="center"/>
    </xf>
    <xf numFmtId="0" fontId="12" fillId="21" borderId="10" applyNumberFormat="0" applyFont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8" borderId="0" applyNumberFormat="0" applyBorder="0" applyAlignment="0" applyProtection="0">
      <alignment vertical="center"/>
    </xf>
    <xf numFmtId="0" fontId="25" fillId="15" borderId="0" applyNumberFormat="0" applyBorder="0" applyAlignment="0" applyProtection="0">
      <alignment vertical="center"/>
    </xf>
    <xf numFmtId="0" fontId="25" fillId="18" borderId="0" applyNumberFormat="0" applyBorder="0" applyAlignment="0" applyProtection="0">
      <alignment vertical="center"/>
    </xf>
    <xf numFmtId="176" fontId="12" fillId="0" borderId="0">
      <alignment vertical="center"/>
    </xf>
    <xf numFmtId="0" fontId="20" fillId="13" borderId="2" applyNumberFormat="0" applyAlignment="0" applyProtection="0">
      <alignment vertical="center"/>
    </xf>
    <xf numFmtId="0" fontId="24" fillId="0" borderId="5" applyNumberFormat="0" applyFill="0" applyAlignment="0" applyProtection="0">
      <alignment vertical="center"/>
    </xf>
    <xf numFmtId="0" fontId="25" fillId="19" borderId="0" applyNumberFormat="0" applyBorder="0" applyAlignment="0" applyProtection="0">
      <alignment vertical="center"/>
    </xf>
    <xf numFmtId="0" fontId="22" fillId="14" borderId="3" applyNumberFormat="0" applyAlignment="0" applyProtection="0">
      <alignment vertical="center"/>
    </xf>
    <xf numFmtId="0" fontId="24" fillId="0" borderId="5" applyNumberFormat="0" applyFill="0" applyAlignment="0" applyProtection="0">
      <alignment vertical="center"/>
    </xf>
    <xf numFmtId="0" fontId="34" fillId="15" borderId="0" applyNumberFormat="0" applyBorder="0" applyAlignment="0" applyProtection="0">
      <alignment vertical="center"/>
    </xf>
    <xf numFmtId="0" fontId="25" fillId="18" borderId="0" applyNumberFormat="0" applyBorder="0" applyAlignment="0" applyProtection="0">
      <alignment vertical="center"/>
    </xf>
    <xf numFmtId="0" fontId="25" fillId="18" borderId="0" applyNumberFormat="0" applyBorder="0" applyAlignment="0" applyProtection="0">
      <alignment vertical="center"/>
    </xf>
    <xf numFmtId="0" fontId="22" fillId="14" borderId="3" applyNumberFormat="0" applyAlignment="0" applyProtection="0">
      <alignment vertical="center"/>
    </xf>
    <xf numFmtId="0" fontId="26" fillId="14" borderId="4" applyNumberFormat="0" applyAlignment="0" applyProtection="0">
      <alignment vertical="center"/>
    </xf>
    <xf numFmtId="0" fontId="26" fillId="14" borderId="4" applyNumberFormat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5" fillId="15" borderId="0" applyNumberFormat="0" applyBorder="0" applyAlignment="0" applyProtection="0">
      <alignment vertical="center"/>
    </xf>
    <xf numFmtId="0" fontId="25" fillId="18" borderId="0" applyNumberFormat="0" applyBorder="0" applyAlignment="0" applyProtection="0">
      <alignment vertical="center"/>
    </xf>
    <xf numFmtId="0" fontId="25" fillId="18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8" borderId="0" applyNumberFormat="0" applyBorder="0" applyAlignment="0" applyProtection="0">
      <alignment vertical="center"/>
    </xf>
    <xf numFmtId="0" fontId="34" fillId="15" borderId="0" applyNumberFormat="0" applyBorder="0" applyAlignment="0" applyProtection="0">
      <alignment vertical="center"/>
    </xf>
    <xf numFmtId="0" fontId="25" fillId="18" borderId="0" applyNumberFormat="0" applyBorder="0" applyAlignment="0" applyProtection="0">
      <alignment vertical="center"/>
    </xf>
    <xf numFmtId="0" fontId="22" fillId="14" borderId="3" applyNumberFormat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2" fillId="14" borderId="3" applyNumberFormat="0" applyAlignment="0" applyProtection="0">
      <alignment vertical="center"/>
    </xf>
    <xf numFmtId="0" fontId="25" fillId="15" borderId="0" applyNumberFormat="0" applyBorder="0" applyAlignment="0" applyProtection="0">
      <alignment vertical="center"/>
    </xf>
    <xf numFmtId="0" fontId="25" fillId="15" borderId="0" applyNumberFormat="0" applyBorder="0" applyAlignment="0" applyProtection="0">
      <alignment vertical="center"/>
    </xf>
    <xf numFmtId="0" fontId="25" fillId="15" borderId="0" applyNumberFormat="0" applyBorder="0" applyAlignment="0" applyProtection="0">
      <alignment vertical="center"/>
    </xf>
    <xf numFmtId="0" fontId="25" fillId="15" borderId="0" applyNumberFormat="0" applyBorder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25" fillId="15" borderId="0" applyNumberFormat="0" applyBorder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25" fillId="15" borderId="0" applyNumberFormat="0" applyBorder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25" fillId="15" borderId="0" applyNumberFormat="0" applyBorder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25" fillId="15" borderId="0" applyNumberFormat="0" applyBorder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25" fillId="15" borderId="0" applyNumberFormat="0" applyBorder="0" applyAlignment="0" applyProtection="0">
      <alignment vertical="center"/>
    </xf>
    <xf numFmtId="176" fontId="12" fillId="0" borderId="0">
      <alignment vertical="center"/>
    </xf>
    <xf numFmtId="0" fontId="25" fillId="19" borderId="0" applyNumberFormat="0" applyBorder="0" applyAlignment="0" applyProtection="0">
      <alignment vertical="center"/>
    </xf>
    <xf numFmtId="176" fontId="12" fillId="0" borderId="0">
      <alignment vertical="center"/>
    </xf>
    <xf numFmtId="0" fontId="25" fillId="1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5" fillId="19" borderId="0" applyNumberFormat="0" applyBorder="0" applyAlignment="0" applyProtection="0">
      <alignment vertical="center"/>
    </xf>
    <xf numFmtId="0" fontId="25" fillId="19" borderId="0" applyNumberFormat="0" applyBorder="0" applyAlignment="0" applyProtection="0">
      <alignment vertical="center"/>
    </xf>
    <xf numFmtId="176" fontId="12" fillId="0" borderId="0">
      <alignment vertical="center"/>
    </xf>
    <xf numFmtId="0" fontId="25" fillId="19" borderId="0" applyNumberFormat="0" applyBorder="0" applyAlignment="0" applyProtection="0">
      <alignment vertical="center"/>
    </xf>
    <xf numFmtId="176" fontId="12" fillId="0" borderId="0">
      <alignment vertical="center"/>
    </xf>
    <xf numFmtId="0" fontId="25" fillId="19" borderId="0" applyNumberFormat="0" applyBorder="0" applyAlignment="0" applyProtection="0">
      <alignment vertical="center"/>
    </xf>
    <xf numFmtId="176" fontId="12" fillId="0" borderId="0">
      <alignment vertical="center"/>
    </xf>
    <xf numFmtId="0" fontId="19" fillId="17" borderId="0" applyNumberFormat="0" applyBorder="0" applyAlignment="0" applyProtection="0">
      <alignment vertical="center"/>
    </xf>
    <xf numFmtId="0" fontId="25" fillId="19" borderId="0" applyNumberFormat="0" applyBorder="0" applyAlignment="0" applyProtection="0">
      <alignment vertical="center"/>
    </xf>
    <xf numFmtId="0" fontId="12" fillId="21" borderId="10" applyNumberFormat="0" applyFont="0" applyAlignment="0" applyProtection="0">
      <alignment vertical="center"/>
    </xf>
    <xf numFmtId="176" fontId="12" fillId="0" borderId="0">
      <alignment vertical="center"/>
    </xf>
    <xf numFmtId="0" fontId="19" fillId="17" borderId="0" applyNumberFormat="0" applyBorder="0" applyAlignment="0" applyProtection="0">
      <alignment vertical="center"/>
    </xf>
    <xf numFmtId="0" fontId="25" fillId="19" borderId="0" applyNumberFormat="0" applyBorder="0" applyAlignment="0" applyProtection="0">
      <alignment vertical="center"/>
    </xf>
    <xf numFmtId="176" fontId="12" fillId="0" borderId="0">
      <alignment vertical="center"/>
    </xf>
    <xf numFmtId="0" fontId="19" fillId="17" borderId="0" applyNumberFormat="0" applyBorder="0" applyAlignment="0" applyProtection="0">
      <alignment vertical="center"/>
    </xf>
    <xf numFmtId="0" fontId="25" fillId="19" borderId="0" applyNumberFormat="0" applyBorder="0" applyAlignment="0" applyProtection="0">
      <alignment vertical="center"/>
    </xf>
    <xf numFmtId="0" fontId="25" fillId="6" borderId="0" applyNumberFormat="0" applyBorder="0" applyAlignment="0" applyProtection="0">
      <alignment vertical="center"/>
    </xf>
    <xf numFmtId="0" fontId="25" fillId="6" borderId="0" applyNumberFormat="0" applyBorder="0" applyAlignment="0" applyProtection="0">
      <alignment vertical="center"/>
    </xf>
    <xf numFmtId="0" fontId="25" fillId="6" borderId="0" applyNumberFormat="0" applyBorder="0" applyAlignment="0" applyProtection="0">
      <alignment vertical="center"/>
    </xf>
    <xf numFmtId="0" fontId="25" fillId="6" borderId="0" applyNumberFormat="0" applyBorder="0" applyAlignment="0" applyProtection="0">
      <alignment vertical="center"/>
    </xf>
    <xf numFmtId="0" fontId="25" fillId="6" borderId="0" applyNumberFormat="0" applyBorder="0" applyAlignment="0" applyProtection="0">
      <alignment vertical="center"/>
    </xf>
    <xf numFmtId="0" fontId="25" fillId="6" borderId="0" applyNumberFormat="0" applyBorder="0" applyAlignment="0" applyProtection="0">
      <alignment vertical="center"/>
    </xf>
    <xf numFmtId="0" fontId="19" fillId="15" borderId="0" applyNumberFormat="0" applyBorder="0" applyAlignment="0" applyProtection="0">
      <alignment vertical="center"/>
    </xf>
    <xf numFmtId="0" fontId="25" fillId="6" borderId="0" applyNumberFormat="0" applyBorder="0" applyAlignment="0" applyProtection="0">
      <alignment vertical="center"/>
    </xf>
    <xf numFmtId="0" fontId="19" fillId="15" borderId="0" applyNumberFormat="0" applyBorder="0" applyAlignment="0" applyProtection="0">
      <alignment vertical="center"/>
    </xf>
    <xf numFmtId="0" fontId="25" fillId="6" borderId="0" applyNumberFormat="0" applyBorder="0" applyAlignment="0" applyProtection="0">
      <alignment vertical="center"/>
    </xf>
    <xf numFmtId="0" fontId="19" fillId="15" borderId="0" applyNumberFormat="0" applyBorder="0" applyAlignment="0" applyProtection="0">
      <alignment vertical="center"/>
    </xf>
    <xf numFmtId="0" fontId="25" fillId="6" borderId="0" applyNumberFormat="0" applyBorder="0" applyAlignment="0" applyProtection="0">
      <alignment vertical="center"/>
    </xf>
    <xf numFmtId="0" fontId="19" fillId="15" borderId="0" applyNumberFormat="0" applyBorder="0" applyAlignment="0" applyProtection="0">
      <alignment vertical="center"/>
    </xf>
    <xf numFmtId="0" fontId="25" fillId="6" borderId="0" applyNumberFormat="0" applyBorder="0" applyAlignment="0" applyProtection="0">
      <alignment vertical="center"/>
    </xf>
    <xf numFmtId="0" fontId="19" fillId="15" borderId="0" applyNumberFormat="0" applyBorder="0" applyAlignment="0" applyProtection="0">
      <alignment vertical="center"/>
    </xf>
    <xf numFmtId="0" fontId="25" fillId="6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19" fillId="1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19" fillId="1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19" fillId="19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176" fontId="12" fillId="0" borderId="0">
      <alignment vertical="center"/>
    </xf>
    <xf numFmtId="0" fontId="19" fillId="19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19" fillId="19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176" fontId="12" fillId="0" borderId="0">
      <alignment vertical="center"/>
    </xf>
    <xf numFmtId="0" fontId="25" fillId="16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6" fillId="14" borderId="4" applyNumberFormat="0" applyAlignment="0" applyProtection="0">
      <alignment vertical="center"/>
    </xf>
    <xf numFmtId="0" fontId="25" fillId="15" borderId="0" applyNumberFormat="0" applyBorder="0" applyAlignment="0" applyProtection="0">
      <alignment vertical="center"/>
    </xf>
    <xf numFmtId="0" fontId="25" fillId="15" borderId="0" applyNumberFormat="0" applyBorder="0" applyAlignment="0" applyProtection="0">
      <alignment vertical="center"/>
    </xf>
    <xf numFmtId="0" fontId="25" fillId="15" borderId="0" applyNumberFormat="0" applyBorder="0" applyAlignment="0" applyProtection="0">
      <alignment vertical="center"/>
    </xf>
    <xf numFmtId="0" fontId="25" fillId="15" borderId="0" applyNumberFormat="0" applyBorder="0" applyAlignment="0" applyProtection="0">
      <alignment vertical="center"/>
    </xf>
    <xf numFmtId="0" fontId="25" fillId="15" borderId="0" applyNumberFormat="0" applyBorder="0" applyAlignment="0" applyProtection="0">
      <alignment vertical="center"/>
    </xf>
    <xf numFmtId="0" fontId="25" fillId="15" borderId="0" applyNumberFormat="0" applyBorder="0" applyAlignment="0" applyProtection="0">
      <alignment vertical="center"/>
    </xf>
    <xf numFmtId="0" fontId="25" fillId="15" borderId="0" applyNumberFormat="0" applyBorder="0" applyAlignment="0" applyProtection="0">
      <alignment vertical="center"/>
    </xf>
    <xf numFmtId="0" fontId="25" fillId="15" borderId="0" applyNumberFormat="0" applyBorder="0" applyAlignment="0" applyProtection="0">
      <alignment vertical="center"/>
    </xf>
    <xf numFmtId="0" fontId="25" fillId="15" borderId="0" applyNumberFormat="0" applyBorder="0" applyAlignment="0" applyProtection="0">
      <alignment vertical="center"/>
    </xf>
    <xf numFmtId="0" fontId="25" fillId="15" borderId="0" applyNumberFormat="0" applyBorder="0" applyAlignment="0" applyProtection="0">
      <alignment vertical="center"/>
    </xf>
    <xf numFmtId="0" fontId="25" fillId="15" borderId="0" applyNumberFormat="0" applyBorder="0" applyAlignment="0" applyProtection="0">
      <alignment vertical="center"/>
    </xf>
    <xf numFmtId="0" fontId="20" fillId="13" borderId="2" applyNumberFormat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25" fillId="19" borderId="0" applyNumberFormat="0" applyBorder="0" applyAlignment="0" applyProtection="0">
      <alignment vertical="center"/>
    </xf>
    <xf numFmtId="0" fontId="20" fillId="13" borderId="2" applyNumberFormat="0" applyAlignment="0" applyProtection="0">
      <alignment vertical="center"/>
    </xf>
    <xf numFmtId="0" fontId="25" fillId="19" borderId="0" applyNumberFormat="0" applyBorder="0" applyAlignment="0" applyProtection="0">
      <alignment vertical="center"/>
    </xf>
    <xf numFmtId="0" fontId="20" fillId="13" borderId="2" applyNumberFormat="0" applyAlignment="0" applyProtection="0">
      <alignment vertical="center"/>
    </xf>
    <xf numFmtId="0" fontId="25" fillId="19" borderId="0" applyNumberFormat="0" applyBorder="0" applyAlignment="0" applyProtection="0">
      <alignment vertical="center"/>
    </xf>
    <xf numFmtId="0" fontId="25" fillId="19" borderId="0" applyNumberFormat="0" applyBorder="0" applyAlignment="0" applyProtection="0">
      <alignment vertical="center"/>
    </xf>
    <xf numFmtId="0" fontId="25" fillId="19" borderId="0" applyNumberFormat="0" applyBorder="0" applyAlignment="0" applyProtection="0">
      <alignment vertical="center"/>
    </xf>
    <xf numFmtId="0" fontId="25" fillId="19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19" fillId="9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12" fillId="21" borderId="10" applyNumberFormat="0" applyFont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19" fillId="12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31" fillId="0" borderId="8" applyNumberFormat="0" applyFill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12" fillId="21" borderId="10" applyNumberFormat="0" applyFont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19" fillId="9" borderId="0" applyNumberFormat="0" applyBorder="0" applyAlignment="0" applyProtection="0">
      <alignment vertical="center"/>
    </xf>
    <xf numFmtId="0" fontId="19" fillId="9" borderId="0" applyNumberFormat="0" applyBorder="0" applyAlignment="0" applyProtection="0">
      <alignment vertical="center"/>
    </xf>
    <xf numFmtId="0" fontId="19" fillId="9" borderId="0" applyNumberFormat="0" applyBorder="0" applyAlignment="0" applyProtection="0">
      <alignment vertical="center"/>
    </xf>
    <xf numFmtId="0" fontId="28" fillId="0" borderId="7" applyNumberFormat="0" applyFill="0" applyAlignment="0" applyProtection="0">
      <alignment vertical="center"/>
    </xf>
    <xf numFmtId="0" fontId="28" fillId="0" borderId="7" applyNumberFormat="0" applyFill="0" applyAlignment="0" applyProtection="0">
      <alignment vertical="center"/>
    </xf>
    <xf numFmtId="0" fontId="28" fillId="0" borderId="7" applyNumberFormat="0" applyFill="0" applyAlignment="0" applyProtection="0">
      <alignment vertical="center"/>
    </xf>
    <xf numFmtId="0" fontId="31" fillId="0" borderId="8" applyNumberFormat="0" applyFill="0" applyAlignment="0" applyProtection="0">
      <alignment vertical="center"/>
    </xf>
    <xf numFmtId="0" fontId="28" fillId="0" borderId="7" applyNumberFormat="0" applyFill="0" applyAlignment="0" applyProtection="0">
      <alignment vertical="center"/>
    </xf>
    <xf numFmtId="0" fontId="28" fillId="0" borderId="7" applyNumberFormat="0" applyFill="0" applyAlignment="0" applyProtection="0">
      <alignment vertical="center"/>
    </xf>
    <xf numFmtId="0" fontId="27" fillId="0" borderId="6" applyNumberFormat="0" applyFill="0" applyAlignment="0" applyProtection="0">
      <alignment vertical="center"/>
    </xf>
    <xf numFmtId="0" fontId="27" fillId="0" borderId="6" applyNumberFormat="0" applyFill="0" applyAlignment="0" applyProtection="0">
      <alignment vertical="center"/>
    </xf>
    <xf numFmtId="0" fontId="27" fillId="0" borderId="6" applyNumberFormat="0" applyFill="0" applyAlignment="0" applyProtection="0">
      <alignment vertical="center"/>
    </xf>
    <xf numFmtId="176" fontId="12" fillId="0" borderId="0">
      <alignment vertical="center"/>
    </xf>
    <xf numFmtId="0" fontId="27" fillId="0" borderId="6" applyNumberFormat="0" applyFill="0" applyAlignment="0" applyProtection="0">
      <alignment vertical="center"/>
    </xf>
    <xf numFmtId="0" fontId="27" fillId="0" borderId="6" applyNumberFormat="0" applyFill="0" applyAlignment="0" applyProtection="0">
      <alignment vertical="center"/>
    </xf>
    <xf numFmtId="0" fontId="32" fillId="0" borderId="9" applyNumberFormat="0" applyFill="0" applyAlignment="0" applyProtection="0">
      <alignment vertical="center"/>
    </xf>
    <xf numFmtId="0" fontId="32" fillId="0" borderId="9" applyNumberFormat="0" applyFill="0" applyAlignment="0" applyProtection="0">
      <alignment vertical="center"/>
    </xf>
    <xf numFmtId="0" fontId="32" fillId="0" borderId="9" applyNumberFormat="0" applyFill="0" applyAlignment="0" applyProtection="0">
      <alignment vertical="center"/>
    </xf>
    <xf numFmtId="0" fontId="32" fillId="0" borderId="9" applyNumberFormat="0" applyFill="0" applyAlignment="0" applyProtection="0">
      <alignment vertical="center"/>
    </xf>
    <xf numFmtId="0" fontId="32" fillId="0" borderId="9" applyNumberFormat="0" applyFill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31" fillId="0" borderId="8" applyNumberFormat="0" applyFill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29" fillId="17" borderId="0" applyNumberFormat="0" applyBorder="0" applyAlignment="0" applyProtection="0">
      <alignment vertical="center"/>
    </xf>
    <xf numFmtId="0" fontId="29" fillId="17" borderId="0" applyNumberFormat="0" applyBorder="0" applyAlignment="0" applyProtection="0">
      <alignment vertical="center"/>
    </xf>
    <xf numFmtId="0" fontId="29" fillId="17" borderId="0" applyNumberFormat="0" applyBorder="0" applyAlignment="0" applyProtection="0">
      <alignment vertical="center"/>
    </xf>
    <xf numFmtId="0" fontId="29" fillId="17" borderId="0" applyNumberFormat="0" applyBorder="0" applyAlignment="0" applyProtection="0">
      <alignment vertical="center"/>
    </xf>
    <xf numFmtId="0" fontId="29" fillId="17" borderId="0" applyNumberFormat="0" applyBorder="0" applyAlignment="0" applyProtection="0">
      <alignment vertical="center"/>
    </xf>
    <xf numFmtId="176" fontId="25" fillId="0" borderId="0">
      <alignment vertical="center"/>
    </xf>
    <xf numFmtId="176" fontId="12" fillId="0" borderId="0">
      <alignment vertical="center"/>
    </xf>
    <xf numFmtId="176" fontId="12" fillId="0" borderId="0">
      <alignment vertical="center"/>
    </xf>
    <xf numFmtId="176" fontId="12" fillId="0" borderId="0">
      <alignment vertical="center"/>
    </xf>
    <xf numFmtId="0" fontId="34" fillId="15" borderId="0" applyNumberFormat="0" applyBorder="0" applyAlignment="0" applyProtection="0">
      <alignment vertical="center"/>
    </xf>
    <xf numFmtId="176" fontId="12" fillId="0" borderId="0">
      <alignment vertical="center"/>
    </xf>
    <xf numFmtId="176" fontId="12" fillId="0" borderId="0">
      <alignment vertical="center"/>
    </xf>
    <xf numFmtId="0" fontId="29" fillId="8" borderId="0" applyNumberFormat="0" applyBorder="0" applyAlignment="0" applyProtection="0">
      <alignment vertical="center"/>
    </xf>
    <xf numFmtId="176" fontId="12" fillId="0" borderId="0">
      <alignment vertical="center"/>
    </xf>
    <xf numFmtId="176" fontId="12" fillId="0" borderId="0">
      <alignment vertical="center"/>
    </xf>
    <xf numFmtId="0" fontId="19" fillId="12" borderId="0" applyNumberFormat="0" applyBorder="0" applyAlignment="0" applyProtection="0">
      <alignment vertical="center"/>
    </xf>
    <xf numFmtId="176" fontId="12" fillId="0" borderId="0">
      <alignment vertical="center"/>
    </xf>
    <xf numFmtId="176" fontId="12" fillId="0" borderId="0">
      <alignment vertical="center"/>
    </xf>
    <xf numFmtId="176" fontId="12" fillId="0" borderId="0">
      <alignment vertical="center"/>
    </xf>
    <xf numFmtId="176" fontId="25" fillId="0" borderId="0">
      <alignment vertical="center"/>
    </xf>
    <xf numFmtId="176" fontId="12" fillId="0" borderId="0">
      <alignment vertical="center"/>
    </xf>
    <xf numFmtId="176" fontId="25" fillId="0" borderId="0">
      <alignment vertical="center"/>
    </xf>
    <xf numFmtId="176" fontId="25" fillId="0" borderId="0">
      <alignment vertical="center"/>
    </xf>
    <xf numFmtId="176" fontId="25" fillId="0" borderId="0">
      <alignment vertical="center"/>
    </xf>
    <xf numFmtId="176" fontId="25" fillId="0" borderId="0">
      <alignment vertical="center"/>
    </xf>
    <xf numFmtId="176" fontId="25" fillId="0" borderId="0">
      <alignment vertical="center"/>
    </xf>
    <xf numFmtId="0" fontId="23" fillId="9" borderId="4" applyNumberFormat="0" applyAlignment="0" applyProtection="0">
      <alignment vertical="center"/>
    </xf>
    <xf numFmtId="176" fontId="25" fillId="0" borderId="0">
      <alignment vertical="center"/>
    </xf>
    <xf numFmtId="176" fontId="25" fillId="0" borderId="0">
      <alignment vertical="center"/>
    </xf>
    <xf numFmtId="176" fontId="25" fillId="0" borderId="0">
      <alignment vertical="center"/>
    </xf>
    <xf numFmtId="176" fontId="12" fillId="0" borderId="0">
      <alignment vertical="center"/>
    </xf>
    <xf numFmtId="0" fontId="33" fillId="0" borderId="0" applyNumberFormat="0" applyFill="0" applyBorder="0" applyAlignment="0" applyProtection="0">
      <alignment vertical="center"/>
    </xf>
    <xf numFmtId="176" fontId="12" fillId="0" borderId="0">
      <alignment vertical="center"/>
    </xf>
    <xf numFmtId="176" fontId="12" fillId="0" borderId="0">
      <alignment vertical="center"/>
    </xf>
    <xf numFmtId="0" fontId="18" fillId="0" borderId="0" applyNumberFormat="0" applyFill="0" applyBorder="0" applyAlignment="0" applyProtection="0">
      <alignment vertical="center"/>
    </xf>
    <xf numFmtId="0" fontId="34" fillId="15" borderId="0" applyNumberFormat="0" applyBorder="0" applyAlignment="0" applyProtection="0">
      <alignment vertical="center"/>
    </xf>
    <xf numFmtId="0" fontId="34" fillId="15" borderId="0" applyNumberFormat="0" applyBorder="0" applyAlignment="0" applyProtection="0">
      <alignment vertical="center"/>
    </xf>
    <xf numFmtId="0" fontId="31" fillId="0" borderId="8" applyNumberFormat="0" applyFill="0" applyAlignment="0" applyProtection="0">
      <alignment vertical="center"/>
    </xf>
    <xf numFmtId="0" fontId="31" fillId="0" borderId="8" applyNumberFormat="0" applyFill="0" applyAlignment="0" applyProtection="0">
      <alignment vertical="center"/>
    </xf>
    <xf numFmtId="0" fontId="20" fillId="13" borderId="2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12" fillId="21" borderId="10" applyNumberFormat="0" applyFont="0" applyAlignment="0" applyProtection="0">
      <alignment vertical="center"/>
    </xf>
    <xf numFmtId="0" fontId="24" fillId="0" borderId="5" applyNumberFormat="0" applyFill="0" applyAlignment="0" applyProtection="0">
      <alignment vertical="center"/>
    </xf>
    <xf numFmtId="0" fontId="24" fillId="0" borderId="5" applyNumberFormat="0" applyFill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19" fillId="11" borderId="0" applyNumberFormat="0" applyBorder="0" applyAlignment="0" applyProtection="0">
      <alignment vertical="center"/>
    </xf>
    <xf numFmtId="0" fontId="19" fillId="11" borderId="0" applyNumberFormat="0" applyBorder="0" applyAlignment="0" applyProtection="0">
      <alignment vertical="center"/>
    </xf>
    <xf numFmtId="0" fontId="19" fillId="11" borderId="0" applyNumberFormat="0" applyBorder="0" applyAlignment="0" applyProtection="0">
      <alignment vertical="center"/>
    </xf>
    <xf numFmtId="0" fontId="19" fillId="11" borderId="0" applyNumberFormat="0" applyBorder="0" applyAlignment="0" applyProtection="0">
      <alignment vertical="center"/>
    </xf>
    <xf numFmtId="0" fontId="19" fillId="12" borderId="0" applyNumberFormat="0" applyBorder="0" applyAlignment="0" applyProtection="0">
      <alignment vertical="center"/>
    </xf>
    <xf numFmtId="0" fontId="19" fillId="12" borderId="0" applyNumberFormat="0" applyBorder="0" applyAlignment="0" applyProtection="0">
      <alignment vertical="center"/>
    </xf>
    <xf numFmtId="0" fontId="19" fillId="12" borderId="0" applyNumberFormat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19" fillId="23" borderId="0" applyNumberFormat="0" applyBorder="0" applyAlignment="0" applyProtection="0">
      <alignment vertical="center"/>
    </xf>
    <xf numFmtId="0" fontId="19" fillId="23" borderId="0" applyNumberFormat="0" applyBorder="0" applyAlignment="0" applyProtection="0">
      <alignment vertical="center"/>
    </xf>
    <xf numFmtId="0" fontId="19" fillId="23" borderId="0" applyNumberFormat="0" applyBorder="0" applyAlignment="0" applyProtection="0">
      <alignment vertical="center"/>
    </xf>
    <xf numFmtId="0" fontId="19" fillId="23" borderId="0" applyNumberFormat="0" applyBorder="0" applyAlignment="0" applyProtection="0">
      <alignment vertical="center"/>
    </xf>
    <xf numFmtId="0" fontId="19" fillId="23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3" fillId="9" borderId="4" applyNumberFormat="0" applyAlignment="0" applyProtection="0">
      <alignment vertical="center"/>
    </xf>
    <xf numFmtId="0" fontId="23" fillId="9" borderId="4" applyNumberFormat="0" applyAlignment="0" applyProtection="0">
      <alignment vertical="center"/>
    </xf>
    <xf numFmtId="0" fontId="23" fillId="9" borderId="4" applyNumberFormat="0" applyAlignment="0" applyProtection="0">
      <alignment vertical="center"/>
    </xf>
    <xf numFmtId="0" fontId="23" fillId="9" borderId="4" applyNumberFormat="0" applyAlignment="0" applyProtection="0">
      <alignment vertical="center"/>
    </xf>
    <xf numFmtId="0" fontId="12" fillId="21" borderId="10" applyNumberFormat="0" applyFont="0" applyAlignment="0" applyProtection="0">
      <alignment vertical="center"/>
    </xf>
    <xf numFmtId="0" fontId="12" fillId="21" borderId="10" applyNumberFormat="0" applyFont="0" applyAlignment="0" applyProtection="0">
      <alignment vertical="center"/>
    </xf>
    <xf numFmtId="0" fontId="12" fillId="21" borderId="10" applyNumberFormat="0" applyFont="0" applyAlignment="0" applyProtection="0">
      <alignment vertical="center"/>
    </xf>
    <xf numFmtId="0" fontId="12" fillId="21" borderId="10" applyNumberFormat="0" applyFont="0" applyAlignment="0" applyProtection="0">
      <alignment vertical="center"/>
    </xf>
    <xf numFmtId="0" fontId="12" fillId="21" borderId="10" applyNumberFormat="0" applyFont="0" applyAlignment="0" applyProtection="0">
      <alignment vertical="center"/>
    </xf>
  </cellStyleXfs>
  <cellXfs count="43">
    <xf numFmtId="0" fontId="0" fillId="0" borderId="0" xfId="0">
      <alignment vertical="center"/>
    </xf>
    <xf numFmtId="0" fontId="1" fillId="0" borderId="1" xfId="0" applyNumberFormat="1" applyFont="1" applyBorder="1" applyAlignment="1">
      <alignment horizontal="center" vertical="center"/>
    </xf>
    <xf numFmtId="0" fontId="2" fillId="2" borderId="1" xfId="0" applyNumberFormat="1" applyFont="1" applyFill="1" applyBorder="1" applyAlignment="1">
      <alignment horizontal="center" vertical="center"/>
    </xf>
    <xf numFmtId="0" fontId="2" fillId="0" borderId="1" xfId="0" applyNumberFormat="1" applyFont="1" applyFill="1" applyBorder="1" applyAlignment="1">
      <alignment horizontal="center" vertical="center"/>
    </xf>
    <xf numFmtId="0" fontId="3" fillId="3" borderId="1" xfId="238" applyNumberFormat="1" applyFont="1" applyFill="1" applyBorder="1" applyAlignment="1">
      <alignment horizontal="center" vertical="center" shrinkToFit="1"/>
    </xf>
    <xf numFmtId="0" fontId="4" fillId="4" borderId="1" xfId="0" applyNumberFormat="1" applyFont="1" applyFill="1" applyBorder="1" applyAlignment="1">
      <alignment horizontal="center" vertical="center"/>
    </xf>
    <xf numFmtId="0" fontId="5" fillId="4" borderId="1" xfId="0" applyNumberFormat="1" applyFont="1" applyFill="1" applyBorder="1" applyAlignment="1">
      <alignment horizontal="center" vertical="center"/>
    </xf>
    <xf numFmtId="0" fontId="3" fillId="5" borderId="1" xfId="238" applyNumberFormat="1" applyFont="1" applyFill="1" applyBorder="1" applyAlignment="1">
      <alignment horizontal="left" vertical="center" shrinkToFit="1"/>
    </xf>
    <xf numFmtId="0" fontId="5" fillId="5" borderId="1" xfId="0" applyNumberFormat="1" applyFont="1" applyFill="1" applyBorder="1" applyAlignment="1">
      <alignment horizontal="left" vertical="center"/>
    </xf>
    <xf numFmtId="0" fontId="5" fillId="5" borderId="1" xfId="0" applyNumberFormat="1" applyFont="1" applyFill="1" applyBorder="1" applyAlignment="1">
      <alignment horizontal="left" vertical="center" wrapText="1"/>
    </xf>
    <xf numFmtId="0" fontId="1" fillId="6" borderId="1" xfId="0" applyNumberFormat="1" applyFont="1" applyFill="1" applyBorder="1" applyAlignment="1">
      <alignment horizontal="center" vertical="center"/>
    </xf>
    <xf numFmtId="49" fontId="6" fillId="0" borderId="0" xfId="0" applyNumberFormat="1" applyFont="1" applyAlignment="1">
      <alignment vertical="center" wrapText="1"/>
    </xf>
    <xf numFmtId="49" fontId="0" fillId="0" borderId="0" xfId="0" applyNumberFormat="1" applyAlignment="1">
      <alignment vertical="center" wrapText="1"/>
    </xf>
    <xf numFmtId="0" fontId="0" fillId="7" borderId="0" xfId="0" applyFill="1">
      <alignment vertical="center"/>
    </xf>
    <xf numFmtId="0" fontId="6" fillId="0" borderId="0" xfId="0" applyNumberFormat="1" applyFont="1" applyAlignment="1">
      <alignment vertical="center" wrapText="1"/>
    </xf>
    <xf numFmtId="0" fontId="1" fillId="7" borderId="1" xfId="0" applyNumberFormat="1" applyFont="1" applyFill="1" applyBorder="1" applyAlignment="1">
      <alignment horizontal="center" vertical="center"/>
    </xf>
    <xf numFmtId="49" fontId="6" fillId="7" borderId="0" xfId="0" applyNumberFormat="1" applyFont="1" applyFill="1" applyAlignment="1">
      <alignment vertical="center" wrapText="1"/>
    </xf>
    <xf numFmtId="49" fontId="0" fillId="7" borderId="0" xfId="0" applyNumberFormat="1" applyFill="1" applyAlignment="1">
      <alignment vertical="center" wrapText="1"/>
    </xf>
    <xf numFmtId="0" fontId="6" fillId="7" borderId="0" xfId="0" applyNumberFormat="1" applyFont="1" applyFill="1" applyAlignment="1">
      <alignment vertical="center" wrapText="1"/>
    </xf>
    <xf numFmtId="0" fontId="7" fillId="0" borderId="0" xfId="0" applyNumberFormat="1" applyFont="1" applyAlignment="1">
      <alignment vertical="center" wrapText="1"/>
    </xf>
    <xf numFmtId="49" fontId="7" fillId="0" borderId="0" xfId="0" applyNumberFormat="1" applyFont="1" applyAlignment="1">
      <alignment vertical="center" wrapText="1"/>
    </xf>
    <xf numFmtId="0" fontId="8" fillId="0" borderId="0" xfId="0" applyNumberFormat="1" applyFont="1" applyFill="1" applyBorder="1" applyAlignment="1" applyProtection="1"/>
    <xf numFmtId="0" fontId="9" fillId="0" borderId="0" xfId="0" applyNumberFormat="1" applyFont="1" applyFill="1" applyBorder="1" applyAlignment="1" applyProtection="1"/>
    <xf numFmtId="0" fontId="10" fillId="0" borderId="0" xfId="0" applyFont="1">
      <alignment vertical="center"/>
    </xf>
    <xf numFmtId="0" fontId="11" fillId="0" borderId="1" xfId="0" applyNumberFormat="1" applyFont="1" applyBorder="1" applyAlignment="1">
      <alignment horizontal="center" vertical="center"/>
    </xf>
    <xf numFmtId="0" fontId="0" fillId="0" borderId="0" xfId="0" applyNumberFormat="1" applyAlignment="1">
      <alignment vertical="center" wrapText="1"/>
    </xf>
    <xf numFmtId="0" fontId="12" fillId="0" borderId="0" xfId="0" applyNumberFormat="1" applyFont="1" applyAlignment="1">
      <alignment vertical="center" wrapText="1"/>
    </xf>
    <xf numFmtId="0" fontId="11" fillId="6" borderId="1" xfId="0" applyNumberFormat="1" applyFont="1" applyFill="1" applyBorder="1" applyAlignment="1">
      <alignment horizontal="center" vertical="center"/>
    </xf>
    <xf numFmtId="49" fontId="10" fillId="0" borderId="0" xfId="0" applyNumberFormat="1" applyFont="1" applyAlignment="1">
      <alignment vertical="center" wrapText="1"/>
    </xf>
    <xf numFmtId="0" fontId="13" fillId="0" borderId="0" xfId="0" applyNumberFormat="1" applyFont="1" applyAlignment="1">
      <alignment vertical="center" wrapText="1"/>
    </xf>
    <xf numFmtId="0" fontId="10" fillId="0" borderId="0" xfId="0" applyNumberFormat="1" applyFont="1" applyAlignment="1">
      <alignment vertical="center" wrapText="1"/>
    </xf>
    <xf numFmtId="0" fontId="14" fillId="0" borderId="1" xfId="238" applyNumberFormat="1" applyFont="1" applyBorder="1" applyAlignment="1">
      <alignment horizontal="center" vertical="center" shrinkToFit="1"/>
    </xf>
    <xf numFmtId="0" fontId="15" fillId="0" borderId="1" xfId="0" applyNumberFormat="1" applyFont="1" applyBorder="1" applyAlignment="1">
      <alignment horizontal="center" vertical="center"/>
    </xf>
    <xf numFmtId="0" fontId="16" fillId="4" borderId="1" xfId="0" applyNumberFormat="1" applyFont="1" applyFill="1" applyBorder="1" applyAlignment="1">
      <alignment horizontal="center" vertical="center"/>
    </xf>
    <xf numFmtId="0" fontId="15" fillId="2" borderId="1" xfId="0" applyNumberFormat="1" applyFont="1" applyFill="1" applyBorder="1" applyAlignment="1">
      <alignment horizontal="center" vertical="center"/>
    </xf>
    <xf numFmtId="0" fontId="15" fillId="8" borderId="1" xfId="0" applyNumberFormat="1" applyFont="1" applyFill="1" applyBorder="1" applyAlignment="1">
      <alignment horizontal="center" vertical="center"/>
    </xf>
    <xf numFmtId="0" fontId="17" fillId="9" borderId="1" xfId="9" applyNumberFormat="1" applyFont="1" applyFill="1" applyBorder="1" applyAlignment="1">
      <alignment horizontal="center" vertical="center"/>
    </xf>
    <xf numFmtId="0" fontId="15" fillId="10" borderId="1" xfId="0" applyNumberFormat="1" applyFont="1" applyFill="1" applyBorder="1" applyAlignment="1">
      <alignment horizontal="left" vertical="center" shrinkToFit="1"/>
    </xf>
    <xf numFmtId="0" fontId="15" fillId="9" borderId="1" xfId="0" applyNumberFormat="1" applyFont="1" applyFill="1" applyBorder="1" applyAlignment="1">
      <alignment horizontal="center" vertical="center"/>
    </xf>
    <xf numFmtId="0" fontId="36" fillId="4" borderId="1" xfId="0" applyNumberFormat="1" applyFont="1" applyFill="1" applyBorder="1" applyAlignment="1">
      <alignment horizontal="center" vertical="center"/>
    </xf>
    <xf numFmtId="0" fontId="12" fillId="0" borderId="0" xfId="0" applyFont="1">
      <alignment vertical="center"/>
    </xf>
    <xf numFmtId="0" fontId="14" fillId="7" borderId="1" xfId="238" applyNumberFormat="1" applyFont="1" applyFill="1" applyBorder="1" applyAlignment="1">
      <alignment horizontal="center" vertical="center" shrinkToFit="1"/>
    </xf>
    <xf numFmtId="0" fontId="16" fillId="4" borderId="1" xfId="0" applyNumberFormat="1" applyFont="1" applyFill="1" applyBorder="1" applyAlignment="1">
      <alignment horizontal="center" vertical="center"/>
    </xf>
  </cellXfs>
  <cellStyles count="319">
    <cellStyle name="20% - 强调文字颜色 1 2" xfId="2"/>
    <cellStyle name="20% - 强调文字颜色 1 2 2" xfId="45"/>
    <cellStyle name="20% - 强调文字颜色 1 2 2 2" xfId="7"/>
    <cellStyle name="20% - 强调文字颜色 1 2 3" xfId="28"/>
    <cellStyle name="20% - 强调文字颜色 1 3" xfId="39"/>
    <cellStyle name="20% - 强调文字颜色 1 3 2" xfId="46"/>
    <cellStyle name="20% - 强调文字颜色 1 4" xfId="30"/>
    <cellStyle name="20% - 强调文字颜色 1 4 2" xfId="48"/>
    <cellStyle name="20% - 强调文字颜色 1 5" xfId="23"/>
    <cellStyle name="20% - 强调文字颜色 1 5 2" xfId="50"/>
    <cellStyle name="20% - 强调文字颜色 1 6" xfId="38"/>
    <cellStyle name="20% - 强调文字颜色 2 2" xfId="52"/>
    <cellStyle name="20% - 强调文字颜色 2 2 2" xfId="10"/>
    <cellStyle name="20% - 强调文字颜色 2 2 2 2" xfId="54"/>
    <cellStyle name="20% - 强调文字颜色 2 2 3" xfId="47"/>
    <cellStyle name="20% - 强调文字颜色 2 3" xfId="25"/>
    <cellStyle name="20% - 强调文字颜色 2 3 2" xfId="55"/>
    <cellStyle name="20% - 强调文字颜色 2 4" xfId="56"/>
    <cellStyle name="20% - 强调文字颜色 2 4 2" xfId="19"/>
    <cellStyle name="20% - 强调文字颜色 2 5" xfId="57"/>
    <cellStyle name="20% - 强调文字颜色 2 5 2" xfId="58"/>
    <cellStyle name="20% - 强调文字颜色 2 6" xfId="53"/>
    <cellStyle name="20% - 强调文字颜色 3 2" xfId="60"/>
    <cellStyle name="20% - 强调文字颜色 3 2 2" xfId="61"/>
    <cellStyle name="20% - 强调文字颜色 3 2 2 2" xfId="62"/>
    <cellStyle name="20% - 强调文字颜色 3 2 3" xfId="63"/>
    <cellStyle name="20% - 强调文字颜色 3 3" xfId="29"/>
    <cellStyle name="20% - 强调文字颜色 3 3 2" xfId="44"/>
    <cellStyle name="20% - 强调文字颜色 3 4" xfId="65"/>
    <cellStyle name="20% - 强调文字颜色 3 4 2" xfId="67"/>
    <cellStyle name="20% - 强调文字颜色 3 5" xfId="69"/>
    <cellStyle name="20% - 强调文字颜色 3 5 2" xfId="71"/>
    <cellStyle name="20% - 强调文字颜色 3 6" xfId="73"/>
    <cellStyle name="20% - 强调文字颜色 4 2" xfId="75"/>
    <cellStyle name="20% - 强调文字颜色 4 2 2" xfId="77"/>
    <cellStyle name="20% - 强调文字颜色 4 2 2 2" xfId="79"/>
    <cellStyle name="20% - 强调文字颜色 4 2 3" xfId="80"/>
    <cellStyle name="20% - 强调文字颜色 4 3" xfId="82"/>
    <cellStyle name="20% - 强调文字颜色 4 3 2" xfId="84"/>
    <cellStyle name="20% - 强调文字颜色 4 4" xfId="87"/>
    <cellStyle name="20% - 强调文字颜色 4 4 2" xfId="18"/>
    <cellStyle name="20% - 强调文字颜色 4 5" xfId="14"/>
    <cellStyle name="20% - 强调文字颜色 4 5 2" xfId="91"/>
    <cellStyle name="20% - 强调文字颜色 4 6" xfId="94"/>
    <cellStyle name="20% - 强调文字颜色 5 2" xfId="95"/>
    <cellStyle name="20% - 强调文字颜色 5 2 2" xfId="96"/>
    <cellStyle name="20% - 强调文字颜色 5 2 2 2" xfId="97"/>
    <cellStyle name="20% - 强调文字颜色 5 2 3" xfId="98"/>
    <cellStyle name="20% - 强调文字颜色 5 3" xfId="99"/>
    <cellStyle name="20% - 强调文字颜色 5 3 2" xfId="100"/>
    <cellStyle name="20% - 强调文字颜色 5 4" xfId="102"/>
    <cellStyle name="20% - 强调文字颜色 5 4 2" xfId="104"/>
    <cellStyle name="20% - 强调文字颜色 5 5" xfId="106"/>
    <cellStyle name="20% - 强调文字颜色 5 5 2" xfId="108"/>
    <cellStyle name="20% - 强调文字颜色 5 6" xfId="110"/>
    <cellStyle name="20% - 强调文字颜色 6 2" xfId="111"/>
    <cellStyle name="20% - 强调文字颜色 6 2 2" xfId="113"/>
    <cellStyle name="20% - 强调文字颜色 6 2 2 2" xfId="115"/>
    <cellStyle name="20% - 强调文字颜色 6 2 3" xfId="117"/>
    <cellStyle name="20% - 强调文字颜色 6 3" xfId="118"/>
    <cellStyle name="20% - 强调文字颜色 6 3 2" xfId="120"/>
    <cellStyle name="20% - 强调文字颜色 6 4" xfId="122"/>
    <cellStyle name="20% - 强调文字颜色 6 4 2" xfId="125"/>
    <cellStyle name="20% - 强调文字颜色 6 5" xfId="128"/>
    <cellStyle name="20% - 强调文字颜色 6 5 2" xfId="132"/>
    <cellStyle name="20% - 强调文字颜色 6 6" xfId="135"/>
    <cellStyle name="40% - 强调文字颜色 1 2" xfId="136"/>
    <cellStyle name="40% - 强调文字颜色 1 2 2" xfId="137"/>
    <cellStyle name="40% - 强调文字颜色 1 2 2 2" xfId="138"/>
    <cellStyle name="40% - 强调文字颜色 1 2 3" xfId="139"/>
    <cellStyle name="40% - 强调文字颜色 1 3" xfId="141"/>
    <cellStyle name="40% - 强调文字颜色 1 3 2" xfId="142"/>
    <cellStyle name="40% - 强调文字颜色 1 4" xfId="143"/>
    <cellStyle name="40% - 强调文字颜色 1 4 2" xfId="144"/>
    <cellStyle name="40% - 强调文字颜色 1 5" xfId="145"/>
    <cellStyle name="40% - 强调文字颜色 1 5 2" xfId="146"/>
    <cellStyle name="40% - 强调文字颜色 1 6" xfId="147"/>
    <cellStyle name="40% - 强调文字颜色 2 2" xfId="27"/>
    <cellStyle name="40% - 强调文字颜色 2 2 2" xfId="148"/>
    <cellStyle name="40% - 强调文字颜色 2 2 2 2" xfId="149"/>
    <cellStyle name="40% - 强调文字颜色 2 2 3" xfId="150"/>
    <cellStyle name="40% - 强调文字颜色 2 3" xfId="151"/>
    <cellStyle name="40% - 强调文字颜色 2 3 2" xfId="152"/>
    <cellStyle name="40% - 强调文字颜色 2 4" xfId="153"/>
    <cellStyle name="40% - 强调文字颜色 2 4 2" xfId="154"/>
    <cellStyle name="40% - 强调文字颜色 2 5" xfId="155"/>
    <cellStyle name="40% - 强调文字颜色 2 5 2" xfId="156"/>
    <cellStyle name="40% - 强调文字颜色 2 6" xfId="157"/>
    <cellStyle name="40% - 强调文字颜色 3 2" xfId="159"/>
    <cellStyle name="40% - 强调文字颜色 3 2 2" xfId="160"/>
    <cellStyle name="40% - 强调文字颜色 3 2 2 2" xfId="161"/>
    <cellStyle name="40% - 强调文字颜色 3 2 3" xfId="162"/>
    <cellStyle name="40% - 强调文字颜色 3 3" xfId="163"/>
    <cellStyle name="40% - 强调文字颜色 3 3 2" xfId="164"/>
    <cellStyle name="40% - 强调文字颜色 3 4" xfId="165"/>
    <cellStyle name="40% - 强调文字颜色 3 4 2" xfId="166"/>
    <cellStyle name="40% - 强调文字颜色 3 5" xfId="167"/>
    <cellStyle name="40% - 强调文字颜色 3 5 2" xfId="168"/>
    <cellStyle name="40% - 强调文字颜色 3 6" xfId="169"/>
    <cellStyle name="40% - 强调文字颜色 4 2" xfId="21"/>
    <cellStyle name="40% - 强调文字颜色 4 2 2" xfId="172"/>
    <cellStyle name="40% - 强调文字颜色 4 2 2 2" xfId="174"/>
    <cellStyle name="40% - 强调文字颜色 4 2 3" xfId="176"/>
    <cellStyle name="40% - 强调文字颜色 4 3" xfId="177"/>
    <cellStyle name="40% - 强调文字颜色 4 3 2" xfId="34"/>
    <cellStyle name="40% - 强调文字颜色 4 4" xfId="112"/>
    <cellStyle name="40% - 强调文字颜色 4 4 2" xfId="114"/>
    <cellStyle name="40% - 强调文字颜色 4 5" xfId="116"/>
    <cellStyle name="40% - 强调文字颜色 4 5 2" xfId="178"/>
    <cellStyle name="40% - 强调文字颜色 4 6" xfId="179"/>
    <cellStyle name="40% - 强调文字颜色 5 2" xfId="180"/>
    <cellStyle name="40% - 强调文字颜色 5 2 2" xfId="127"/>
    <cellStyle name="40% - 强调文字颜色 5 2 2 2" xfId="131"/>
    <cellStyle name="40% - 强调文字颜色 5 2 3" xfId="134"/>
    <cellStyle name="40% - 强调文字颜色 5 3" xfId="181"/>
    <cellStyle name="40% - 强调文字颜色 5 3 2" xfId="183"/>
    <cellStyle name="40% - 强调文字颜色 5 4" xfId="119"/>
    <cellStyle name="40% - 强调文字颜色 5 4 2" xfId="185"/>
    <cellStyle name="40% - 强调文字颜色 5 5" xfId="186"/>
    <cellStyle name="40% - 强调文字颜色 5 5 2" xfId="187"/>
    <cellStyle name="40% - 强调文字颜色 5 6" xfId="189"/>
    <cellStyle name="40% - 强调文字颜色 6 2" xfId="191"/>
    <cellStyle name="40% - 强调文字颜色 6 2 2" xfId="192"/>
    <cellStyle name="40% - 强调文字颜色 6 2 2 2" xfId="193"/>
    <cellStyle name="40% - 强调文字颜色 6 2 3" xfId="194"/>
    <cellStyle name="40% - 强调文字颜色 6 3" xfId="196"/>
    <cellStyle name="40% - 强调文字颜色 6 3 2" xfId="198"/>
    <cellStyle name="40% - 强调文字颜色 6 4" xfId="124"/>
    <cellStyle name="40% - 强调文字颜色 6 4 2" xfId="11"/>
    <cellStyle name="40% - 强调文字颜色 6 5" xfId="26"/>
    <cellStyle name="40% - 强调文字颜色 6 5 2" xfId="200"/>
    <cellStyle name="40% - 强调文字颜色 6 6" xfId="202"/>
    <cellStyle name="60% - 强调文字颜色 1 2" xfId="64"/>
    <cellStyle name="60% - 强调文字颜色 1 2 2" xfId="66"/>
    <cellStyle name="60% - 强调文字颜色 1 3" xfId="68"/>
    <cellStyle name="60% - 强调文字颜色 1 3 2" xfId="70"/>
    <cellStyle name="60% - 强调文字颜色 1 4" xfId="72"/>
    <cellStyle name="60% - 强调文字颜色 2 2" xfId="86"/>
    <cellStyle name="60% - 强调文字颜色 2 2 2" xfId="17"/>
    <cellStyle name="60% - 强调文字颜色 2 3" xfId="13"/>
    <cellStyle name="60% - 强调文字颜色 2 3 2" xfId="90"/>
    <cellStyle name="60% - 强调文字颜色 2 4" xfId="93"/>
    <cellStyle name="60% - 强调文字颜色 3 2" xfId="101"/>
    <cellStyle name="60% - 强调文字颜色 3 2 2" xfId="103"/>
    <cellStyle name="60% - 强调文字颜色 3 3" xfId="105"/>
    <cellStyle name="60% - 强调文字颜色 3 3 2" xfId="107"/>
    <cellStyle name="60% - 强调文字颜色 3 4" xfId="109"/>
    <cellStyle name="60% - 强调文字颜色 4 2" xfId="121"/>
    <cellStyle name="60% - 强调文字颜色 4 2 2" xfId="123"/>
    <cellStyle name="60% - 强调文字颜色 4 3" xfId="126"/>
    <cellStyle name="60% - 强调文字颜色 4 3 2" xfId="130"/>
    <cellStyle name="60% - 强调文字颜色 4 4" xfId="133"/>
    <cellStyle name="60% - 强调文字颜色 5 2" xfId="203"/>
    <cellStyle name="60% - 强调文字颜色 5 2 2" xfId="204"/>
    <cellStyle name="60% - 强调文字颜色 5 3" xfId="182"/>
    <cellStyle name="60% - 强调文字颜色 5 3 2" xfId="205"/>
    <cellStyle name="60% - 强调文字颜色 5 4" xfId="206"/>
    <cellStyle name="60% - 强调文字颜色 6 2" xfId="207"/>
    <cellStyle name="60% - 强调文字颜色 6 2 2" xfId="208"/>
    <cellStyle name="60% - 强调文字颜色 6 3" xfId="184"/>
    <cellStyle name="60% - 强调文字颜色 6 3 2" xfId="8"/>
    <cellStyle name="60% - 强调文字颜色 6 4" xfId="209"/>
    <cellStyle name="标题 1 2" xfId="210"/>
    <cellStyle name="标题 1 2 2" xfId="211"/>
    <cellStyle name="标题 1 3" xfId="212"/>
    <cellStyle name="标题 1 3 2" xfId="214"/>
    <cellStyle name="标题 1 4" xfId="215"/>
    <cellStyle name="标题 2 2" xfId="216"/>
    <cellStyle name="标题 2 2 2" xfId="217"/>
    <cellStyle name="标题 2 3" xfId="218"/>
    <cellStyle name="标题 2 3 2" xfId="220"/>
    <cellStyle name="标题 2 4" xfId="221"/>
    <cellStyle name="标题 3 2" xfId="222"/>
    <cellStyle name="标题 3 2 2" xfId="223"/>
    <cellStyle name="标题 3 3" xfId="224"/>
    <cellStyle name="标题 3 3 2" xfId="225"/>
    <cellStyle name="标题 3 4" xfId="226"/>
    <cellStyle name="标题 4 2" xfId="227"/>
    <cellStyle name="标题 4 2 2" xfId="228"/>
    <cellStyle name="标题 4 3" xfId="230"/>
    <cellStyle name="标题 4 3 2" xfId="231"/>
    <cellStyle name="标题 4 4" xfId="171"/>
    <cellStyle name="标题 5" xfId="6"/>
    <cellStyle name="差 2" xfId="232"/>
    <cellStyle name="差 2 2" xfId="233"/>
    <cellStyle name="差 3" xfId="234"/>
    <cellStyle name="差 3 2" xfId="235"/>
    <cellStyle name="差 4" xfId="236"/>
    <cellStyle name="常规" xfId="0" builtinId="0" customBuiltin="1"/>
    <cellStyle name="常规 10" xfId="238"/>
    <cellStyle name="常规 10 2" xfId="239"/>
    <cellStyle name="常规 11" xfId="219"/>
    <cellStyle name="常规 11 2" xfId="240"/>
    <cellStyle name="常规 12" xfId="242"/>
    <cellStyle name="常规 12 2" xfId="243"/>
    <cellStyle name="常规 13" xfId="245"/>
    <cellStyle name="常规 13 2" xfId="246"/>
    <cellStyle name="常规 14" xfId="248"/>
    <cellStyle name="常规 14 2" xfId="249"/>
    <cellStyle name="常规 15" xfId="129"/>
    <cellStyle name="常规 15 2" xfId="250"/>
    <cellStyle name="常规 16" xfId="251"/>
    <cellStyle name="常规 16 2" xfId="237"/>
    <cellStyle name="常规 17" xfId="252"/>
    <cellStyle name="常规 2" xfId="253"/>
    <cellStyle name="常规 2 2" xfId="254"/>
    <cellStyle name="常规 2 2 2" xfId="255"/>
    <cellStyle name="常规 2 2 2 2" xfId="256"/>
    <cellStyle name="常规 2 2 3" xfId="257"/>
    <cellStyle name="常规 2 3" xfId="259"/>
    <cellStyle name="常规 2 3 2" xfId="260"/>
    <cellStyle name="常规 2 4" xfId="261"/>
    <cellStyle name="常规 3" xfId="74"/>
    <cellStyle name="常规 3 2" xfId="76"/>
    <cellStyle name="常规 4" xfId="81"/>
    <cellStyle name="常规 4 2" xfId="83"/>
    <cellStyle name="常规 5" xfId="85"/>
    <cellStyle name="常规 5 2" xfId="16"/>
    <cellStyle name="常规 6" xfId="12"/>
    <cellStyle name="常规 6 2" xfId="89"/>
    <cellStyle name="常规 7" xfId="92"/>
    <cellStyle name="常规 7 2" xfId="262"/>
    <cellStyle name="常规 8" xfId="264"/>
    <cellStyle name="常规 8 2" xfId="31"/>
    <cellStyle name="常规 9" xfId="265"/>
    <cellStyle name="常规 9 2" xfId="140"/>
    <cellStyle name="超链接" xfId="9" builtinId="8"/>
    <cellStyle name="超链接 2" xfId="266"/>
    <cellStyle name="好 2" xfId="22"/>
    <cellStyle name="好 2 2" xfId="49"/>
    <cellStyle name="好 3" xfId="37"/>
    <cellStyle name="好 3 2" xfId="267"/>
    <cellStyle name="好 4" xfId="268"/>
    <cellStyle name="好 4 2" xfId="241"/>
    <cellStyle name="汇总 2" xfId="199"/>
    <cellStyle name="汇总 2 2" xfId="229"/>
    <cellStyle name="汇总 3" xfId="213"/>
    <cellStyle name="汇总 3 2" xfId="269"/>
    <cellStyle name="汇总 4" xfId="270"/>
    <cellStyle name="计算 2" xfId="5"/>
    <cellStyle name="计算 2 2" xfId="158"/>
    <cellStyle name="计算 3" xfId="41"/>
    <cellStyle name="计算 3 2" xfId="20"/>
    <cellStyle name="计算 4" xfId="42"/>
    <cellStyle name="检查单元格 2" xfId="170"/>
    <cellStyle name="检查单元格 2 2" xfId="173"/>
    <cellStyle name="检查单元格 3" xfId="175"/>
    <cellStyle name="检查单元格 3 2" xfId="32"/>
    <cellStyle name="检查单元格 4" xfId="271"/>
    <cellStyle name="解释性文本 2" xfId="272"/>
    <cellStyle name="解释性文本 2 2" xfId="15"/>
    <cellStyle name="解释性文本 3" xfId="197"/>
    <cellStyle name="解释性文本 3 2" xfId="273"/>
    <cellStyle name="解释性文本 4" xfId="274"/>
    <cellStyle name="警告文本 2" xfId="275"/>
    <cellStyle name="警告文本 2 2" xfId="276"/>
    <cellStyle name="警告文本 3" xfId="277"/>
    <cellStyle name="警告文本 3 2" xfId="263"/>
    <cellStyle name="警告文本 4" xfId="278"/>
    <cellStyle name="链接单元格 2" xfId="280"/>
    <cellStyle name="链接单元格 2 2" xfId="281"/>
    <cellStyle name="链接单元格 3" xfId="33"/>
    <cellStyle name="链接单元格 3 2" xfId="1"/>
    <cellStyle name="链接单元格 4" xfId="36"/>
    <cellStyle name="强调文字颜色 1 2" xfId="282"/>
    <cellStyle name="强调文字颜色 1 2 2" xfId="283"/>
    <cellStyle name="强调文字颜色 1 3" xfId="284"/>
    <cellStyle name="强调文字颜色 1 3 2" xfId="285"/>
    <cellStyle name="强调文字颜色 1 4" xfId="286"/>
    <cellStyle name="强调文字颜色 2 2" xfId="287"/>
    <cellStyle name="强调文字颜色 2 2 2" xfId="288"/>
    <cellStyle name="强调文字颜色 2 3" xfId="289"/>
    <cellStyle name="强调文字颜色 2 3 2" xfId="4"/>
    <cellStyle name="强调文字颜色 2 4" xfId="290"/>
    <cellStyle name="强调文字颜色 3 2" xfId="291"/>
    <cellStyle name="强调文字颜色 3 2 2" xfId="195"/>
    <cellStyle name="强调文字颜色 3 3" xfId="292"/>
    <cellStyle name="强调文字颜色 3 3 2" xfId="247"/>
    <cellStyle name="强调文字颜色 3 4" xfId="293"/>
    <cellStyle name="强调文字颜色 4 2" xfId="294"/>
    <cellStyle name="强调文字颜色 4 2 2" xfId="295"/>
    <cellStyle name="强调文字颜色 4 3" xfId="296"/>
    <cellStyle name="强调文字颜色 4 3 2" xfId="297"/>
    <cellStyle name="强调文字颜色 4 4" xfId="298"/>
    <cellStyle name="强调文字颜色 5 2" xfId="299"/>
    <cellStyle name="强调文字颜色 5 2 2" xfId="300"/>
    <cellStyle name="强调文字颜色 5 3" xfId="301"/>
    <cellStyle name="强调文字颜色 5 3 2" xfId="302"/>
    <cellStyle name="强调文字颜色 5 4" xfId="303"/>
    <cellStyle name="强调文字颜色 6 2" xfId="304"/>
    <cellStyle name="强调文字颜色 6 2 2" xfId="305"/>
    <cellStyle name="强调文字颜色 6 3" xfId="306"/>
    <cellStyle name="强调文字颜色 6 3 2" xfId="307"/>
    <cellStyle name="强调文字颜色 6 4" xfId="308"/>
    <cellStyle name="适中 2" xfId="43"/>
    <cellStyle name="适中 2 2" xfId="190"/>
    <cellStyle name="适中 3" xfId="309"/>
    <cellStyle name="适中 3 2" xfId="244"/>
    <cellStyle name="适中 4" xfId="78"/>
    <cellStyle name="输出 2" xfId="35"/>
    <cellStyle name="输出 2 2" xfId="51"/>
    <cellStyle name="输出 3" xfId="3"/>
    <cellStyle name="输出 3 2" xfId="59"/>
    <cellStyle name="输出 4" xfId="40"/>
    <cellStyle name="输入 2" xfId="310"/>
    <cellStyle name="输入 2 2" xfId="311"/>
    <cellStyle name="输入 3" xfId="312"/>
    <cellStyle name="输入 3 2" xfId="258"/>
    <cellStyle name="输入 4" xfId="313"/>
    <cellStyle name="注释 2" xfId="88"/>
    <cellStyle name="注释 2 2" xfId="188"/>
    <cellStyle name="注释 2 2 2" xfId="314"/>
    <cellStyle name="注释 2 2 2 2" xfId="315"/>
    <cellStyle name="注释 2 2 3" xfId="316"/>
    <cellStyle name="注释 2 3" xfId="24"/>
    <cellStyle name="注释 2 3 2" xfId="279"/>
    <cellStyle name="注释 2 4" xfId="317"/>
    <cellStyle name="注释 3" xfId="318"/>
    <cellStyle name="注释 3 2" xfId="201"/>
  </cellStyles>
  <dxfs count="15"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Light16"/>
  <colors>
    <mruColors>
      <color rgb="FFFF99CC"/>
      <color rgb="FF996600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6"/>
  <sheetViews>
    <sheetView workbookViewId="0">
      <pane xSplit="1" ySplit="2" topLeftCell="B3" activePane="bottomRight" state="frozen"/>
      <selection pane="topRight"/>
      <selection pane="bottomLeft"/>
      <selection pane="bottomRight" activeCell="F1" sqref="F1"/>
    </sheetView>
  </sheetViews>
  <sheetFormatPr defaultColWidth="9" defaultRowHeight="16.5" x14ac:dyDescent="0.15"/>
  <cols>
    <col min="1" max="1" width="11.375" style="32" customWidth="1"/>
    <col min="2" max="2" width="11.5" style="32" customWidth="1"/>
    <col min="3" max="3" width="24" style="32" customWidth="1"/>
    <col min="4" max="4" width="67.625" style="32" customWidth="1"/>
    <col min="5" max="5" width="29.625" style="32" customWidth="1"/>
    <col min="6" max="6" width="17.5" style="32" customWidth="1"/>
    <col min="7" max="16384" width="9" style="32"/>
  </cols>
  <sheetData>
    <row r="1" spans="1:7" x14ac:dyDescent="0.15">
      <c r="A1" s="42" t="s">
        <v>0</v>
      </c>
      <c r="B1" s="42"/>
      <c r="C1" s="42"/>
      <c r="D1" s="42"/>
      <c r="E1" s="42"/>
      <c r="F1" s="33" t="s">
        <v>1</v>
      </c>
      <c r="G1" s="32">
        <v>0</v>
      </c>
    </row>
    <row r="2" spans="1:7" x14ac:dyDescent="0.15">
      <c r="A2" s="33" t="s">
        <v>2</v>
      </c>
      <c r="B2" s="33" t="s">
        <v>3</v>
      </c>
      <c r="C2" s="33" t="s">
        <v>4</v>
      </c>
      <c r="D2" s="33" t="s">
        <v>5</v>
      </c>
      <c r="E2" s="33" t="s">
        <v>6</v>
      </c>
      <c r="F2" s="33" t="s">
        <v>7</v>
      </c>
      <c r="G2" s="32">
        <v>0</v>
      </c>
    </row>
    <row r="3" spans="1:7" x14ac:dyDescent="0.15">
      <c r="A3" s="34" t="s">
        <v>8</v>
      </c>
      <c r="B3" s="35">
        <v>1</v>
      </c>
      <c r="C3" s="36" t="s">
        <v>9</v>
      </c>
      <c r="D3" s="37" t="s">
        <v>10</v>
      </c>
      <c r="E3" s="37"/>
      <c r="F3" s="38" t="s">
        <v>11</v>
      </c>
      <c r="G3" s="32">
        <v>1</v>
      </c>
    </row>
    <row r="4" spans="1:7" x14ac:dyDescent="0.15">
      <c r="A4" s="34" t="s">
        <v>8</v>
      </c>
      <c r="B4" s="35">
        <v>1</v>
      </c>
      <c r="C4" s="36" t="s">
        <v>12</v>
      </c>
      <c r="D4" s="37" t="s">
        <v>10</v>
      </c>
      <c r="E4" s="37"/>
      <c r="F4" s="38" t="s">
        <v>13</v>
      </c>
      <c r="G4" s="32">
        <v>1</v>
      </c>
    </row>
    <row r="5" spans="1:7" x14ac:dyDescent="0.15">
      <c r="A5" s="34" t="s">
        <v>8</v>
      </c>
      <c r="B5" s="35">
        <v>1</v>
      </c>
      <c r="C5" s="36" t="s">
        <v>14</v>
      </c>
      <c r="D5" s="37" t="s">
        <v>10</v>
      </c>
      <c r="E5" s="37"/>
      <c r="F5" s="38" t="s">
        <v>15</v>
      </c>
      <c r="G5" s="32">
        <v>1</v>
      </c>
    </row>
    <row r="6" spans="1:7" x14ac:dyDescent="0.15">
      <c r="A6" s="34" t="s">
        <v>8</v>
      </c>
      <c r="B6" s="35">
        <v>1</v>
      </c>
      <c r="C6" s="36" t="s">
        <v>16</v>
      </c>
      <c r="D6" s="37" t="s">
        <v>10</v>
      </c>
      <c r="E6" s="37"/>
      <c r="F6" s="38" t="s">
        <v>17</v>
      </c>
      <c r="G6" s="32">
        <v>1</v>
      </c>
    </row>
    <row r="7" spans="1:7" x14ac:dyDescent="0.15">
      <c r="A7" s="34" t="s">
        <v>8</v>
      </c>
      <c r="B7" s="35">
        <v>1</v>
      </c>
      <c r="C7" s="36" t="s">
        <v>18</v>
      </c>
      <c r="D7" s="37" t="s">
        <v>10</v>
      </c>
      <c r="E7" s="37"/>
      <c r="F7" s="38" t="s">
        <v>19</v>
      </c>
      <c r="G7" s="32">
        <v>1</v>
      </c>
    </row>
    <row r="8" spans="1:7" x14ac:dyDescent="0.15">
      <c r="A8" s="34" t="s">
        <v>8</v>
      </c>
      <c r="B8" s="35">
        <v>1</v>
      </c>
      <c r="C8" s="36" t="s">
        <v>20</v>
      </c>
      <c r="D8" s="37" t="s">
        <v>10</v>
      </c>
      <c r="E8" s="37"/>
      <c r="F8" s="38" t="s">
        <v>21</v>
      </c>
      <c r="G8" s="32">
        <v>1</v>
      </c>
    </row>
    <row r="9" spans="1:7" x14ac:dyDescent="0.15">
      <c r="A9" s="34" t="s">
        <v>8</v>
      </c>
      <c r="B9" s="35">
        <v>1</v>
      </c>
      <c r="C9" s="36" t="s">
        <v>22</v>
      </c>
      <c r="D9" s="37" t="s">
        <v>10</v>
      </c>
      <c r="E9" s="37"/>
      <c r="F9" s="38" t="s">
        <v>23</v>
      </c>
      <c r="G9" s="32">
        <v>1</v>
      </c>
    </row>
    <row r="10" spans="1:7" x14ac:dyDescent="0.15">
      <c r="A10" s="34" t="s">
        <v>8</v>
      </c>
      <c r="B10" s="35">
        <v>1</v>
      </c>
      <c r="C10" s="36" t="s">
        <v>24</v>
      </c>
      <c r="D10" s="37" t="s">
        <v>10</v>
      </c>
      <c r="E10" s="37"/>
      <c r="F10" s="38" t="s">
        <v>25</v>
      </c>
      <c r="G10" s="32">
        <v>1</v>
      </c>
    </row>
    <row r="11" spans="1:7" x14ac:dyDescent="0.15">
      <c r="A11" s="34" t="s">
        <v>8</v>
      </c>
      <c r="B11" s="35">
        <v>1</v>
      </c>
      <c r="C11" s="36" t="s">
        <v>26</v>
      </c>
      <c r="D11" s="37" t="s">
        <v>10</v>
      </c>
      <c r="E11" s="37"/>
      <c r="F11" s="38" t="s">
        <v>27</v>
      </c>
      <c r="G11" s="32">
        <v>1</v>
      </c>
    </row>
    <row r="12" spans="1:7" x14ac:dyDescent="0.15">
      <c r="A12" s="34" t="s">
        <v>8</v>
      </c>
      <c r="B12" s="35">
        <v>1</v>
      </c>
      <c r="C12" s="36" t="s">
        <v>28</v>
      </c>
      <c r="D12" s="37" t="s">
        <v>10</v>
      </c>
      <c r="E12" s="37"/>
      <c r="F12" s="38" t="s">
        <v>29</v>
      </c>
      <c r="G12" s="32">
        <v>1</v>
      </c>
    </row>
    <row r="13" spans="1:7" x14ac:dyDescent="0.15">
      <c r="A13" s="34" t="s">
        <v>8</v>
      </c>
      <c r="B13" s="35">
        <v>1</v>
      </c>
      <c r="C13" s="36" t="s">
        <v>30</v>
      </c>
      <c r="D13" s="37" t="s">
        <v>10</v>
      </c>
      <c r="E13" s="37"/>
      <c r="F13" s="38" t="s">
        <v>31</v>
      </c>
      <c r="G13" s="32">
        <v>1</v>
      </c>
    </row>
    <row r="14" spans="1:7" x14ac:dyDescent="0.15">
      <c r="A14" s="34" t="s">
        <v>8</v>
      </c>
      <c r="B14" s="35">
        <v>1</v>
      </c>
      <c r="C14" s="36" t="s">
        <v>32</v>
      </c>
      <c r="D14" s="37" t="s">
        <v>10</v>
      </c>
      <c r="E14" s="37"/>
      <c r="F14" s="38" t="s">
        <v>33</v>
      </c>
      <c r="G14" s="32">
        <v>1</v>
      </c>
    </row>
    <row r="15" spans="1:7" x14ac:dyDescent="0.15">
      <c r="A15" s="34" t="s">
        <v>8</v>
      </c>
      <c r="B15" s="35">
        <v>1</v>
      </c>
      <c r="C15" s="36" t="s">
        <v>34</v>
      </c>
      <c r="D15" s="37" t="s">
        <v>10</v>
      </c>
      <c r="E15" s="37"/>
      <c r="F15" s="38" t="s">
        <v>35</v>
      </c>
      <c r="G15" s="32">
        <v>1</v>
      </c>
    </row>
    <row r="16" spans="1:7" x14ac:dyDescent="0.15">
      <c r="A16" s="34" t="s">
        <v>8</v>
      </c>
      <c r="B16" s="35">
        <v>1</v>
      </c>
      <c r="C16" s="36" t="s">
        <v>36</v>
      </c>
      <c r="D16" s="37" t="s">
        <v>10</v>
      </c>
      <c r="E16" s="37"/>
      <c r="F16" s="38" t="s">
        <v>37</v>
      </c>
      <c r="G16" s="32">
        <v>1</v>
      </c>
    </row>
  </sheetData>
  <autoFilter ref="A2:F16"/>
  <mergeCells count="1">
    <mergeCell ref="A1:E1"/>
  </mergeCells>
  <phoneticPr fontId="35" type="noConversion"/>
  <pageMargins left="0.69930555555555596" right="0.69930555555555596" top="0.75" bottom="0.75" header="0.3" footer="0.3"/>
  <pageSetup paperSize="9" orientation="portrait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58"/>
  <sheetViews>
    <sheetView tabSelected="1" topLeftCell="N1" workbookViewId="0">
      <pane ySplit="8" topLeftCell="A9" activePane="bottomLeft" state="frozen"/>
      <selection pane="bottomLeft" activeCell="Z15" sqref="Z15"/>
    </sheetView>
  </sheetViews>
  <sheetFormatPr defaultColWidth="9" defaultRowHeight="13.5" x14ac:dyDescent="0.15"/>
  <cols>
    <col min="1" max="1" width="9" style="1" customWidth="1"/>
    <col min="2" max="2" width="10.625" style="10" customWidth="1"/>
    <col min="3" max="4" width="15.375" style="10" customWidth="1"/>
    <col min="5" max="5" width="12.375" style="1" customWidth="1"/>
    <col min="6" max="6" width="27.125" style="1" customWidth="1"/>
    <col min="7" max="7" width="17" style="1" customWidth="1"/>
    <col min="8" max="8" width="10.875" style="1" customWidth="1"/>
    <col min="9" max="9" width="14.625" style="1" customWidth="1"/>
    <col min="10" max="10" width="12.625" style="1" customWidth="1"/>
    <col min="11" max="11" width="14.625" style="1" customWidth="1"/>
    <col min="12" max="13" width="11.625" style="1" customWidth="1"/>
    <col min="14" max="15" width="12.75" style="1" customWidth="1"/>
    <col min="16" max="16" width="12" style="1" customWidth="1"/>
    <col min="17" max="17" width="13.5" style="1" customWidth="1"/>
    <col min="18" max="18" width="11.5" style="1" customWidth="1"/>
    <col min="19" max="19" width="13.375" style="1" customWidth="1"/>
    <col min="20" max="20" width="11" style="1" customWidth="1"/>
    <col min="21" max="21" width="12.5" style="1" customWidth="1"/>
    <col min="22" max="22" width="12.875" style="1" customWidth="1"/>
    <col min="23" max="23" width="15.75" style="1" customWidth="1"/>
    <col min="24" max="24" width="22.375" style="1" customWidth="1"/>
    <col min="25" max="25" width="22.75" style="1" customWidth="1"/>
    <col min="26" max="26" width="36.375" style="1" customWidth="1"/>
    <col min="27" max="27" width="18.625" style="1" customWidth="1"/>
    <col min="28" max="16384" width="9" style="1"/>
  </cols>
  <sheetData>
    <row r="1" spans="1:27" s="3" customFormat="1" x14ac:dyDescent="0.15">
      <c r="A1" s="2" t="s">
        <v>38</v>
      </c>
      <c r="B1" s="3" t="s">
        <v>39</v>
      </c>
      <c r="E1" s="3" t="s">
        <v>39</v>
      </c>
      <c r="F1" s="3" t="s">
        <v>39</v>
      </c>
      <c r="G1" s="3" t="s">
        <v>39</v>
      </c>
      <c r="H1" s="3" t="s">
        <v>39</v>
      </c>
      <c r="J1" s="3" t="s">
        <v>39</v>
      </c>
      <c r="K1" s="3" t="s">
        <v>39</v>
      </c>
      <c r="L1" s="3" t="s">
        <v>39</v>
      </c>
      <c r="M1" s="3" t="s">
        <v>39</v>
      </c>
      <c r="N1" s="3" t="s">
        <v>39</v>
      </c>
      <c r="O1" s="3" t="s">
        <v>39</v>
      </c>
      <c r="P1" s="3" t="s">
        <v>39</v>
      </c>
      <c r="Q1" s="3" t="s">
        <v>39</v>
      </c>
      <c r="R1" s="3" t="s">
        <v>39</v>
      </c>
      <c r="S1" s="3" t="s">
        <v>39</v>
      </c>
      <c r="T1" s="3" t="s">
        <v>39</v>
      </c>
      <c r="U1" s="3" t="s">
        <v>39</v>
      </c>
      <c r="V1" s="3" t="s">
        <v>39</v>
      </c>
      <c r="W1" s="3" t="s">
        <v>39</v>
      </c>
      <c r="X1" s="3" t="s">
        <v>39</v>
      </c>
      <c r="Y1" s="3" t="s">
        <v>39</v>
      </c>
      <c r="AA1" s="3" t="s">
        <v>1256</v>
      </c>
    </row>
    <row r="2" spans="1:27" s="3" customFormat="1" x14ac:dyDescent="0.15">
      <c r="A2" s="2" t="s">
        <v>40</v>
      </c>
      <c r="B2" s="3" t="s">
        <v>39</v>
      </c>
      <c r="C2" s="3" t="s">
        <v>39</v>
      </c>
      <c r="D2" s="3" t="s">
        <v>39</v>
      </c>
      <c r="E2" s="3" t="s">
        <v>39</v>
      </c>
      <c r="F2" s="3" t="s">
        <v>39</v>
      </c>
      <c r="G2" s="3" t="s">
        <v>39</v>
      </c>
      <c r="H2" s="3" t="s">
        <v>39</v>
      </c>
      <c r="I2" s="3" t="s">
        <v>39</v>
      </c>
      <c r="J2" s="3" t="s">
        <v>39</v>
      </c>
      <c r="K2" s="3" t="s">
        <v>39</v>
      </c>
      <c r="L2" s="3" t="s">
        <v>39</v>
      </c>
      <c r="M2" s="3" t="s">
        <v>39</v>
      </c>
      <c r="N2" s="3" t="s">
        <v>39</v>
      </c>
      <c r="O2" s="3" t="s">
        <v>39</v>
      </c>
      <c r="P2" s="3" t="s">
        <v>39</v>
      </c>
      <c r="Q2" s="3" t="s">
        <v>39</v>
      </c>
      <c r="R2" s="3" t="s">
        <v>39</v>
      </c>
      <c r="S2" s="3" t="s">
        <v>39</v>
      </c>
      <c r="T2" s="3" t="s">
        <v>39</v>
      </c>
      <c r="U2" s="3" t="s">
        <v>39</v>
      </c>
      <c r="V2" s="3" t="s">
        <v>39</v>
      </c>
      <c r="W2" s="3" t="s">
        <v>39</v>
      </c>
      <c r="X2" s="3" t="s">
        <v>39</v>
      </c>
      <c r="Y2" s="3" t="s">
        <v>39</v>
      </c>
      <c r="Z2" s="3" t="s">
        <v>39</v>
      </c>
      <c r="AA2" s="3" t="s">
        <v>1256</v>
      </c>
    </row>
    <row r="3" spans="1:27" s="5" customFormat="1" ht="14.25" x14ac:dyDescent="0.15">
      <c r="A3" s="4" t="s">
        <v>39</v>
      </c>
      <c r="B3" s="4" t="s">
        <v>41</v>
      </c>
      <c r="C3" s="4" t="s">
        <v>42</v>
      </c>
      <c r="D3" s="4" t="s">
        <v>41</v>
      </c>
      <c r="E3" s="5" t="s">
        <v>41</v>
      </c>
      <c r="F3" s="5" t="s">
        <v>42</v>
      </c>
      <c r="G3" s="5" t="s">
        <v>42</v>
      </c>
      <c r="H3" s="5" t="s">
        <v>42</v>
      </c>
      <c r="I3" s="5" t="s">
        <v>42</v>
      </c>
      <c r="J3" s="5" t="s">
        <v>41</v>
      </c>
      <c r="K3" s="5" t="s">
        <v>42</v>
      </c>
      <c r="L3" s="5" t="s">
        <v>41</v>
      </c>
      <c r="M3" s="5" t="s">
        <v>41</v>
      </c>
      <c r="N3" s="5" t="s">
        <v>42</v>
      </c>
      <c r="O3" s="5" t="s">
        <v>41</v>
      </c>
      <c r="P3" s="5" t="s">
        <v>41</v>
      </c>
      <c r="Q3" s="5" t="s">
        <v>42</v>
      </c>
      <c r="R3" s="5" t="s">
        <v>42</v>
      </c>
      <c r="S3" s="5" t="s">
        <v>41</v>
      </c>
      <c r="T3" s="5" t="s">
        <v>41</v>
      </c>
      <c r="U3" s="5" t="s">
        <v>42</v>
      </c>
      <c r="V3" s="5" t="s">
        <v>42</v>
      </c>
      <c r="W3" s="5" t="s">
        <v>42</v>
      </c>
      <c r="X3" s="5" t="s">
        <v>41</v>
      </c>
      <c r="Y3" s="5" t="s">
        <v>42</v>
      </c>
      <c r="Z3" s="5" t="s">
        <v>42</v>
      </c>
      <c r="AA3" s="5" t="s">
        <v>1257</v>
      </c>
    </row>
    <row r="4" spans="1:27" s="5" customFormat="1" ht="37.5" customHeight="1" x14ac:dyDescent="0.15">
      <c r="A4" s="4"/>
      <c r="B4" s="4" t="s">
        <v>43</v>
      </c>
      <c r="C4" s="6" t="s">
        <v>44</v>
      </c>
      <c r="D4" s="6" t="s">
        <v>45</v>
      </c>
      <c r="E4" s="6" t="s">
        <v>46</v>
      </c>
      <c r="F4" s="6" t="s">
        <v>47</v>
      </c>
      <c r="G4" s="6" t="s">
        <v>48</v>
      </c>
      <c r="H4" s="6" t="s">
        <v>49</v>
      </c>
      <c r="I4" s="6" t="s">
        <v>50</v>
      </c>
      <c r="J4" s="6" t="s">
        <v>51</v>
      </c>
      <c r="K4" s="6" t="s">
        <v>52</v>
      </c>
      <c r="L4" s="6" t="s">
        <v>53</v>
      </c>
      <c r="M4" s="6" t="s">
        <v>54</v>
      </c>
      <c r="N4" s="6" t="s">
        <v>55</v>
      </c>
      <c r="O4" s="6" t="s">
        <v>56</v>
      </c>
      <c r="P4" s="6" t="s">
        <v>57</v>
      </c>
      <c r="Q4" s="6" t="s">
        <v>58</v>
      </c>
      <c r="R4" s="6" t="s">
        <v>59</v>
      </c>
      <c r="S4" s="6" t="s">
        <v>60</v>
      </c>
      <c r="T4" s="6" t="s">
        <v>61</v>
      </c>
      <c r="U4" s="6" t="s">
        <v>62</v>
      </c>
      <c r="V4" s="6" t="s">
        <v>63</v>
      </c>
      <c r="W4" s="6" t="s">
        <v>64</v>
      </c>
      <c r="X4" s="6" t="s">
        <v>65</v>
      </c>
      <c r="Y4" s="5" t="s">
        <v>66</v>
      </c>
      <c r="Z4" s="5" t="s">
        <v>1041</v>
      </c>
      <c r="AA4" s="5" t="s">
        <v>1258</v>
      </c>
    </row>
    <row r="5" spans="1:27" s="5" customFormat="1" ht="14.25" x14ac:dyDescent="0.15">
      <c r="A5" s="4"/>
      <c r="B5" s="4" t="str">
        <f>IF(B3="","",IF(B3="INT","i",IF(B3="FLOAT","f",IF(B3="STRING","s"))))</f>
        <v>i</v>
      </c>
      <c r="C5" s="4" t="str">
        <f>IF(C3="","",IF(C3="INT","i",IF(C3="FLOAT","f",IF(C3="STRING","s"))))</f>
        <v>s</v>
      </c>
      <c r="D5" s="4" t="str">
        <f>IF(D3="","",IF(D3="INT","i",IF(D3="FLOAT","f",IF(D3="STRING","s"))))</f>
        <v>i</v>
      </c>
      <c r="E5" s="5" t="s">
        <v>67</v>
      </c>
      <c r="F5" s="5" t="s">
        <v>68</v>
      </c>
      <c r="G5" s="5" t="s">
        <v>68</v>
      </c>
      <c r="H5" s="5" t="s">
        <v>68</v>
      </c>
      <c r="I5" s="5" t="s">
        <v>68</v>
      </c>
      <c r="J5" s="5" t="s">
        <v>67</v>
      </c>
      <c r="K5" s="5" t="s">
        <v>68</v>
      </c>
      <c r="L5" s="5" t="s">
        <v>67</v>
      </c>
      <c r="M5" s="5" t="s">
        <v>67</v>
      </c>
      <c r="N5" s="5" t="s">
        <v>68</v>
      </c>
      <c r="O5" s="5" t="s">
        <v>67</v>
      </c>
      <c r="P5" s="5" t="s">
        <v>67</v>
      </c>
      <c r="Q5" s="5" t="s">
        <v>68</v>
      </c>
      <c r="R5" s="5" t="s">
        <v>68</v>
      </c>
      <c r="S5" s="5" t="s">
        <v>67</v>
      </c>
      <c r="T5" s="5" t="s">
        <v>67</v>
      </c>
      <c r="U5" s="5" t="s">
        <v>68</v>
      </c>
      <c r="V5" s="5" t="s">
        <v>68</v>
      </c>
      <c r="W5" s="5" t="s">
        <v>68</v>
      </c>
      <c r="X5" s="5" t="s">
        <v>67</v>
      </c>
      <c r="Y5" s="5" t="s">
        <v>68</v>
      </c>
      <c r="Z5" s="5" t="s">
        <v>68</v>
      </c>
      <c r="AA5" s="5" t="s">
        <v>1259</v>
      </c>
    </row>
    <row r="6" spans="1:27" s="5" customFormat="1" ht="14.25" x14ac:dyDescent="0.15">
      <c r="A6" s="4" t="s">
        <v>39</v>
      </c>
      <c r="B6" s="4" t="str">
        <f t="shared" ref="B6:C6" si="0">B5&amp;B4</f>
        <v>iID</v>
      </c>
      <c r="C6" s="4" t="str">
        <f t="shared" si="0"/>
        <v>sNotes</v>
      </c>
      <c r="D6" s="4" t="str">
        <f t="shared" ref="D6:Z6" si="1">D5&amp;D4</f>
        <v>iTiledID</v>
      </c>
      <c r="E6" s="5" t="str">
        <f t="shared" si="1"/>
        <v>iGameType</v>
      </c>
      <c r="F6" s="5" t="str">
        <f t="shared" si="1"/>
        <v>sGameArgs</v>
      </c>
      <c r="G6" s="5" t="str">
        <f t="shared" si="1"/>
        <v>sStyleSequence</v>
      </c>
      <c r="H6" s="5" t="str">
        <f t="shared" si="1"/>
        <v>sStageLevel</v>
      </c>
      <c r="I6" s="5" t="str">
        <f t="shared" si="1"/>
        <v>sOpenCondition</v>
      </c>
      <c r="J6" s="5" t="str">
        <f t="shared" si="1"/>
        <v>iArgsOpen</v>
      </c>
      <c r="K6" s="5" t="str">
        <f t="shared" si="1"/>
        <v>sGoldRate</v>
      </c>
      <c r="L6" s="5" t="str">
        <f t="shared" si="1"/>
        <v>iEquipDropID</v>
      </c>
      <c r="M6" s="5" t="str">
        <f t="shared" ref="M6:N6" si="2">M5&amp;M4</f>
        <v>iEquipProb</v>
      </c>
      <c r="N6" s="5" t="str">
        <f t="shared" si="2"/>
        <v>sIntegralRate</v>
      </c>
      <c r="O6" s="5" t="str">
        <f t="shared" ref="O6" si="3">O5&amp;O4</f>
        <v>iGoldBase</v>
      </c>
      <c r="P6" s="5" t="str">
        <f t="shared" si="1"/>
        <v>iExpBase</v>
      </c>
      <c r="Q6" s="5" t="str">
        <f t="shared" si="1"/>
        <v>sGoldTurn</v>
      </c>
      <c r="R6" s="5" t="str">
        <f t="shared" si="1"/>
        <v>sDropAddCond</v>
      </c>
      <c r="S6" s="5" t="str">
        <f t="shared" si="1"/>
        <v>iDropAddProb</v>
      </c>
      <c r="T6" s="5" t="str">
        <f t="shared" si="1"/>
        <v>iAdProb</v>
      </c>
      <c r="U6" s="5" t="str">
        <f t="shared" si="1"/>
        <v>sAdTurn</v>
      </c>
      <c r="V6" s="5" t="str">
        <f t="shared" si="1"/>
        <v>sScrollRate</v>
      </c>
      <c r="W6" s="5" t="str">
        <f t="shared" si="1"/>
        <v>sScrollRateBoss</v>
      </c>
      <c r="X6" s="5" t="str">
        <f t="shared" si="1"/>
        <v>iMaxReviviTimes</v>
      </c>
      <c r="Y6" s="5" t="str">
        <f t="shared" si="1"/>
        <v>sEntrancelimit</v>
      </c>
      <c r="Z6" s="5" t="str">
        <f t="shared" si="1"/>
        <v>sDropPreview</v>
      </c>
      <c r="AA6" s="5" t="str">
        <f>AA5&amp;AA4</f>
        <v>iTriggerEncouragePkg</v>
      </c>
    </row>
    <row r="7" spans="1:27" s="6" customFormat="1" ht="14.25" x14ac:dyDescent="0.15">
      <c r="A7" s="4"/>
      <c r="B7" s="4" t="s">
        <v>69</v>
      </c>
      <c r="C7" s="4" t="s">
        <v>70</v>
      </c>
      <c r="D7" s="4" t="s">
        <v>71</v>
      </c>
      <c r="E7" s="6" t="s">
        <v>72</v>
      </c>
      <c r="F7" s="6" t="s">
        <v>73</v>
      </c>
      <c r="G7" s="6" t="s">
        <v>74</v>
      </c>
      <c r="O7" s="6" t="s">
        <v>75</v>
      </c>
      <c r="P7" s="6" t="s">
        <v>76</v>
      </c>
      <c r="Q7" s="6" t="s">
        <v>77</v>
      </c>
      <c r="AA7" s="6" t="s">
        <v>1260</v>
      </c>
    </row>
    <row r="8" spans="1:27" s="6" customFormat="1" ht="14.25" x14ac:dyDescent="0.15">
      <c r="A8" s="4" t="s">
        <v>78</v>
      </c>
      <c r="B8" s="4">
        <v>0</v>
      </c>
      <c r="C8" s="4"/>
      <c r="D8" s="4"/>
      <c r="E8" s="6">
        <v>0</v>
      </c>
      <c r="J8" s="6">
        <v>0</v>
      </c>
      <c r="O8" s="6">
        <v>0</v>
      </c>
      <c r="P8" s="6">
        <v>0</v>
      </c>
      <c r="X8" s="6">
        <v>1</v>
      </c>
      <c r="Y8" s="6" t="s">
        <v>79</v>
      </c>
      <c r="Z8" s="6">
        <v>0</v>
      </c>
      <c r="AA8" s="6">
        <v>1</v>
      </c>
    </row>
    <row r="9" spans="1:27" s="8" customFormat="1" ht="26.25" customHeight="1" x14ac:dyDescent="0.15">
      <c r="A9" s="7"/>
      <c r="B9" s="7"/>
      <c r="C9" s="7"/>
      <c r="D9" s="7"/>
      <c r="F9" s="9" t="s">
        <v>80</v>
      </c>
      <c r="G9" s="9"/>
      <c r="J9" s="9"/>
      <c r="X9" s="8" t="s">
        <v>81</v>
      </c>
      <c r="Y9" s="9" t="s">
        <v>82</v>
      </c>
      <c r="Z9" s="8" t="s">
        <v>1042</v>
      </c>
    </row>
    <row r="10" spans="1:27" ht="36" x14ac:dyDescent="0.15">
      <c r="A10" s="31" t="s">
        <v>39</v>
      </c>
      <c r="B10" s="11" t="s">
        <v>83</v>
      </c>
      <c r="C10" s="11" t="s">
        <v>84</v>
      </c>
      <c r="D10" s="11" t="s">
        <v>85</v>
      </c>
      <c r="E10" s="11" t="s">
        <v>86</v>
      </c>
      <c r="F10" s="12"/>
      <c r="G10" s="11" t="s">
        <v>87</v>
      </c>
      <c r="H10" s="11" t="s">
        <v>83</v>
      </c>
      <c r="I10" s="11" t="s">
        <v>86</v>
      </c>
      <c r="J10" s="11" t="s">
        <v>86</v>
      </c>
      <c r="K10" s="11" t="s">
        <v>86</v>
      </c>
      <c r="L10" s="11" t="s">
        <v>88</v>
      </c>
      <c r="M10" s="11" t="s">
        <v>85</v>
      </c>
      <c r="N10" s="11" t="s">
        <v>85</v>
      </c>
      <c r="O10" s="11" t="s">
        <v>1018</v>
      </c>
      <c r="P10" s="11" t="s">
        <v>1024</v>
      </c>
      <c r="Q10" s="12"/>
      <c r="R10" s="12"/>
      <c r="S10" s="11" t="s">
        <v>86</v>
      </c>
      <c r="T10" s="11" t="s">
        <v>89</v>
      </c>
      <c r="U10" s="11" t="s">
        <v>90</v>
      </c>
      <c r="V10" s="11" t="s">
        <v>91</v>
      </c>
      <c r="W10" s="11" t="s">
        <v>92</v>
      </c>
      <c r="Y10" s="1" t="s">
        <v>93</v>
      </c>
      <c r="Z10" s="1" t="s">
        <v>1089</v>
      </c>
      <c r="AA10" s="1">
        <v>0</v>
      </c>
    </row>
    <row r="11" spans="1:27" ht="36" x14ac:dyDescent="0.15">
      <c r="A11" s="31" t="s">
        <v>39</v>
      </c>
      <c r="B11" s="11" t="s">
        <v>94</v>
      </c>
      <c r="C11" s="11" t="s">
        <v>95</v>
      </c>
      <c r="D11" s="11" t="s">
        <v>96</v>
      </c>
      <c r="E11" s="11" t="s">
        <v>86</v>
      </c>
      <c r="F11" s="12"/>
      <c r="G11" s="11" t="s">
        <v>97</v>
      </c>
      <c r="H11" s="11" t="s">
        <v>94</v>
      </c>
      <c r="I11" s="11" t="s">
        <v>85</v>
      </c>
      <c r="J11" s="11" t="s">
        <v>98</v>
      </c>
      <c r="K11" s="11" t="s">
        <v>86</v>
      </c>
      <c r="L11" s="11" t="s">
        <v>99</v>
      </c>
      <c r="M11" s="11" t="s">
        <v>96</v>
      </c>
      <c r="N11" s="11" t="s">
        <v>100</v>
      </c>
      <c r="O11" s="11" t="s">
        <v>1019</v>
      </c>
      <c r="P11" s="11" t="s">
        <v>1019</v>
      </c>
      <c r="Q11" s="11" t="s">
        <v>101</v>
      </c>
      <c r="R11" s="11" t="s">
        <v>102</v>
      </c>
      <c r="S11" s="11" t="s">
        <v>86</v>
      </c>
      <c r="T11" s="11" t="s">
        <v>89</v>
      </c>
      <c r="U11" s="11" t="s">
        <v>103</v>
      </c>
      <c r="V11" s="11" t="s">
        <v>104</v>
      </c>
      <c r="W11" s="11" t="s">
        <v>105</v>
      </c>
      <c r="Y11" s="1" t="s">
        <v>93</v>
      </c>
      <c r="Z11" s="1" t="s">
        <v>1090</v>
      </c>
      <c r="AA11" s="1">
        <v>0</v>
      </c>
    </row>
    <row r="12" spans="1:27" ht="36" x14ac:dyDescent="0.15">
      <c r="A12" s="31" t="s">
        <v>39</v>
      </c>
      <c r="B12" s="11" t="s">
        <v>106</v>
      </c>
      <c r="C12" s="11" t="s">
        <v>107</v>
      </c>
      <c r="D12" s="11" t="s">
        <v>108</v>
      </c>
      <c r="E12" s="11" t="s">
        <v>85</v>
      </c>
      <c r="F12" s="11" t="s">
        <v>109</v>
      </c>
      <c r="G12" s="11" t="s">
        <v>110</v>
      </c>
      <c r="H12" s="11" t="s">
        <v>106</v>
      </c>
      <c r="I12" s="11" t="s">
        <v>85</v>
      </c>
      <c r="J12" s="11" t="s">
        <v>98</v>
      </c>
      <c r="K12" s="11" t="s">
        <v>86</v>
      </c>
      <c r="L12" s="11" t="s">
        <v>111</v>
      </c>
      <c r="M12" s="11" t="s">
        <v>96</v>
      </c>
      <c r="N12" s="11" t="s">
        <v>112</v>
      </c>
      <c r="O12" s="11" t="s">
        <v>1020</v>
      </c>
      <c r="P12" s="11" t="s">
        <v>1020</v>
      </c>
      <c r="Q12" s="11" t="s">
        <v>113</v>
      </c>
      <c r="R12" s="11" t="s">
        <v>114</v>
      </c>
      <c r="S12" s="11" t="s">
        <v>86</v>
      </c>
      <c r="T12" s="11" t="s">
        <v>89</v>
      </c>
      <c r="U12" s="11" t="s">
        <v>115</v>
      </c>
      <c r="V12" s="11" t="s">
        <v>116</v>
      </c>
      <c r="W12" s="11" t="s">
        <v>117</v>
      </c>
      <c r="Y12" s="1" t="s">
        <v>93</v>
      </c>
      <c r="Z12" s="1" t="s">
        <v>1091</v>
      </c>
      <c r="AA12" s="1">
        <v>3</v>
      </c>
    </row>
    <row r="13" spans="1:27" ht="36" x14ac:dyDescent="0.15">
      <c r="A13" s="31" t="s">
        <v>39</v>
      </c>
      <c r="B13" s="11" t="s">
        <v>118</v>
      </c>
      <c r="C13" s="11" t="s">
        <v>119</v>
      </c>
      <c r="D13" s="11" t="s">
        <v>120</v>
      </c>
      <c r="E13" s="11" t="s">
        <v>86</v>
      </c>
      <c r="F13" s="12"/>
      <c r="G13" s="11" t="s">
        <v>121</v>
      </c>
      <c r="H13" s="11" t="s">
        <v>118</v>
      </c>
      <c r="I13" s="11" t="s">
        <v>85</v>
      </c>
      <c r="J13" s="11" t="s">
        <v>122</v>
      </c>
      <c r="K13" s="11" t="s">
        <v>86</v>
      </c>
      <c r="L13" s="11" t="s">
        <v>123</v>
      </c>
      <c r="M13" s="11" t="s">
        <v>108</v>
      </c>
      <c r="N13" s="11" t="s">
        <v>124</v>
      </c>
      <c r="O13" s="11" t="s">
        <v>1021</v>
      </c>
      <c r="P13" s="11" t="s">
        <v>1021</v>
      </c>
      <c r="Q13" s="11" t="s">
        <v>125</v>
      </c>
      <c r="R13" s="11" t="s">
        <v>114</v>
      </c>
      <c r="S13" s="11" t="s">
        <v>86</v>
      </c>
      <c r="T13" s="11" t="s">
        <v>89</v>
      </c>
      <c r="U13" s="11" t="s">
        <v>126</v>
      </c>
      <c r="V13" s="11" t="s">
        <v>127</v>
      </c>
      <c r="W13" s="11" t="s">
        <v>128</v>
      </c>
      <c r="Y13" s="1" t="s">
        <v>93</v>
      </c>
      <c r="Z13" s="1" t="s">
        <v>1092</v>
      </c>
      <c r="AA13" s="1">
        <v>4</v>
      </c>
    </row>
    <row r="14" spans="1:27" ht="36" x14ac:dyDescent="0.15">
      <c r="A14" s="31" t="s">
        <v>39</v>
      </c>
      <c r="B14" s="11" t="s">
        <v>129</v>
      </c>
      <c r="C14" s="11" t="s">
        <v>130</v>
      </c>
      <c r="D14" s="11" t="s">
        <v>131</v>
      </c>
      <c r="E14" s="11" t="s">
        <v>86</v>
      </c>
      <c r="F14" s="12"/>
      <c r="G14" s="11" t="s">
        <v>132</v>
      </c>
      <c r="H14" s="11" t="s">
        <v>129</v>
      </c>
      <c r="I14" s="11" t="s">
        <v>85</v>
      </c>
      <c r="J14" s="11" t="s">
        <v>98</v>
      </c>
      <c r="K14" s="11" t="s">
        <v>86</v>
      </c>
      <c r="L14" s="11" t="s">
        <v>133</v>
      </c>
      <c r="M14" s="11" t="s">
        <v>108</v>
      </c>
      <c r="N14" s="11" t="s">
        <v>134</v>
      </c>
      <c r="O14" s="11" t="s">
        <v>1022</v>
      </c>
      <c r="P14" s="11" t="s">
        <v>1022</v>
      </c>
      <c r="Q14" s="11" t="s">
        <v>135</v>
      </c>
      <c r="R14" s="11" t="s">
        <v>114</v>
      </c>
      <c r="S14" s="11" t="s">
        <v>86</v>
      </c>
      <c r="T14" s="11" t="s">
        <v>89</v>
      </c>
      <c r="U14" s="11" t="s">
        <v>136</v>
      </c>
      <c r="V14" s="11" t="s">
        <v>137</v>
      </c>
      <c r="W14" s="11" t="s">
        <v>138</v>
      </c>
      <c r="Y14" s="1" t="s">
        <v>93</v>
      </c>
      <c r="Z14" s="1" t="s">
        <v>1093</v>
      </c>
      <c r="AA14" s="1">
        <v>5</v>
      </c>
    </row>
    <row r="15" spans="1:27" ht="36" x14ac:dyDescent="0.15">
      <c r="A15" s="31" t="s">
        <v>39</v>
      </c>
      <c r="B15" s="11" t="s">
        <v>139</v>
      </c>
      <c r="C15" s="11" t="s">
        <v>140</v>
      </c>
      <c r="D15" s="11" t="s">
        <v>141</v>
      </c>
      <c r="E15" s="11" t="s">
        <v>85</v>
      </c>
      <c r="F15" s="11" t="s">
        <v>109</v>
      </c>
      <c r="G15" s="11" t="s">
        <v>142</v>
      </c>
      <c r="H15" s="11" t="s">
        <v>139</v>
      </c>
      <c r="I15" s="11" t="s">
        <v>85</v>
      </c>
      <c r="J15" s="11" t="s">
        <v>1149</v>
      </c>
      <c r="K15" s="11" t="s">
        <v>86</v>
      </c>
      <c r="L15" s="11" t="s">
        <v>143</v>
      </c>
      <c r="M15" s="11" t="s">
        <v>108</v>
      </c>
      <c r="N15" s="11" t="s">
        <v>144</v>
      </c>
      <c r="O15" s="11" t="s">
        <v>1023</v>
      </c>
      <c r="P15" s="11" t="s">
        <v>1023</v>
      </c>
      <c r="Q15" s="11" t="s">
        <v>145</v>
      </c>
      <c r="R15" s="11" t="s">
        <v>114</v>
      </c>
      <c r="S15" s="11" t="s">
        <v>86</v>
      </c>
      <c r="T15" s="11" t="s">
        <v>89</v>
      </c>
      <c r="U15" s="11" t="s">
        <v>146</v>
      </c>
      <c r="V15" s="11" t="s">
        <v>147</v>
      </c>
      <c r="W15" s="11" t="s">
        <v>148</v>
      </c>
      <c r="Y15" s="1" t="s">
        <v>93</v>
      </c>
      <c r="Z15" s="1" t="s">
        <v>1094</v>
      </c>
      <c r="AA15" s="1">
        <v>5</v>
      </c>
    </row>
    <row r="16" spans="1:27" s="15" customFormat="1" ht="36" x14ac:dyDescent="0.15">
      <c r="A16" s="41" t="s">
        <v>39</v>
      </c>
      <c r="B16" s="16" t="s">
        <v>149</v>
      </c>
      <c r="C16" s="16" t="s">
        <v>150</v>
      </c>
      <c r="D16" s="16" t="s">
        <v>151</v>
      </c>
      <c r="E16" s="16" t="s">
        <v>86</v>
      </c>
      <c r="F16" s="17"/>
      <c r="G16" s="16" t="s">
        <v>1180</v>
      </c>
      <c r="H16" s="16" t="s">
        <v>149</v>
      </c>
      <c r="I16" s="16" t="s">
        <v>85</v>
      </c>
      <c r="J16" s="16" t="s">
        <v>1148</v>
      </c>
      <c r="K16" s="16" t="s">
        <v>86</v>
      </c>
      <c r="L16" s="16" t="s">
        <v>152</v>
      </c>
      <c r="M16" s="16" t="s">
        <v>153</v>
      </c>
      <c r="N16" s="16" t="s">
        <v>154</v>
      </c>
      <c r="O16" s="16" t="s">
        <v>1202</v>
      </c>
      <c r="P16" s="16" t="s">
        <v>1202</v>
      </c>
      <c r="Q16" s="16" t="s">
        <v>155</v>
      </c>
      <c r="R16" s="16" t="s">
        <v>114</v>
      </c>
      <c r="S16" s="16" t="s">
        <v>86</v>
      </c>
      <c r="T16" s="16" t="s">
        <v>89</v>
      </c>
      <c r="U16" s="16" t="s">
        <v>156</v>
      </c>
      <c r="V16" s="16" t="s">
        <v>157</v>
      </c>
      <c r="W16" s="16" t="s">
        <v>158</v>
      </c>
      <c r="Y16" s="15" t="s">
        <v>93</v>
      </c>
      <c r="Z16" s="15" t="s">
        <v>1094</v>
      </c>
      <c r="AA16" s="15">
        <v>5</v>
      </c>
    </row>
    <row r="17" spans="1:27" s="15" customFormat="1" ht="36" x14ac:dyDescent="0.15">
      <c r="A17" s="41" t="s">
        <v>39</v>
      </c>
      <c r="B17" s="16" t="s">
        <v>159</v>
      </c>
      <c r="C17" s="16" t="s">
        <v>160</v>
      </c>
      <c r="D17" s="16" t="s">
        <v>161</v>
      </c>
      <c r="E17" s="16" t="s">
        <v>86</v>
      </c>
      <c r="F17" s="17"/>
      <c r="G17" s="16" t="s">
        <v>1181</v>
      </c>
      <c r="H17" s="16" t="s">
        <v>159</v>
      </c>
      <c r="I17" s="16" t="s">
        <v>85</v>
      </c>
      <c r="J17" s="16" t="s">
        <v>1148</v>
      </c>
      <c r="K17" s="16" t="s">
        <v>86</v>
      </c>
      <c r="L17" s="16" t="s">
        <v>163</v>
      </c>
      <c r="M17" s="16" t="s">
        <v>120</v>
      </c>
      <c r="N17" s="16" t="s">
        <v>164</v>
      </c>
      <c r="O17" s="16" t="s">
        <v>1203</v>
      </c>
      <c r="P17" s="16" t="s">
        <v>1203</v>
      </c>
      <c r="Q17" s="16" t="s">
        <v>165</v>
      </c>
      <c r="R17" s="16" t="s">
        <v>114</v>
      </c>
      <c r="S17" s="16" t="s">
        <v>86</v>
      </c>
      <c r="T17" s="16" t="s">
        <v>89</v>
      </c>
      <c r="U17" s="16" t="s">
        <v>166</v>
      </c>
      <c r="V17" s="16" t="s">
        <v>167</v>
      </c>
      <c r="W17" s="16" t="s">
        <v>168</v>
      </c>
      <c r="Y17" s="15" t="s">
        <v>93</v>
      </c>
      <c r="Z17" s="15" t="s">
        <v>1094</v>
      </c>
      <c r="AA17" s="15">
        <v>5</v>
      </c>
    </row>
    <row r="18" spans="1:27" ht="36" x14ac:dyDescent="0.15">
      <c r="A18" s="31" t="s">
        <v>39</v>
      </c>
      <c r="B18" s="11" t="s">
        <v>169</v>
      </c>
      <c r="C18" s="11" t="s">
        <v>170</v>
      </c>
      <c r="D18" s="11" t="s">
        <v>171</v>
      </c>
      <c r="E18" s="11" t="s">
        <v>86</v>
      </c>
      <c r="F18" s="12"/>
      <c r="G18" s="11" t="s">
        <v>172</v>
      </c>
      <c r="H18" s="11" t="s">
        <v>169</v>
      </c>
      <c r="I18" s="11" t="s">
        <v>85</v>
      </c>
      <c r="J18" s="11" t="s">
        <v>98</v>
      </c>
      <c r="K18" s="11" t="s">
        <v>86</v>
      </c>
      <c r="L18" s="11" t="s">
        <v>173</v>
      </c>
      <c r="M18" s="11" t="s">
        <v>151</v>
      </c>
      <c r="N18" s="11" t="s">
        <v>174</v>
      </c>
      <c r="O18" s="11" t="s">
        <v>86</v>
      </c>
      <c r="P18" s="11" t="s">
        <v>86</v>
      </c>
      <c r="Q18" s="11" t="s">
        <v>175</v>
      </c>
      <c r="R18" s="11" t="s">
        <v>114</v>
      </c>
      <c r="S18" s="11" t="s">
        <v>86</v>
      </c>
      <c r="T18" s="11" t="s">
        <v>89</v>
      </c>
      <c r="U18" s="11" t="s">
        <v>176</v>
      </c>
      <c r="V18" s="11" t="s">
        <v>177</v>
      </c>
      <c r="W18" s="11" t="s">
        <v>178</v>
      </c>
      <c r="Y18" s="1" t="s">
        <v>93</v>
      </c>
      <c r="Z18" s="1" t="s">
        <v>1094</v>
      </c>
      <c r="AA18" s="1">
        <v>5</v>
      </c>
    </row>
    <row r="19" spans="1:27" ht="36" x14ac:dyDescent="0.15">
      <c r="A19" s="31" t="s">
        <v>39</v>
      </c>
      <c r="B19" s="11" t="s">
        <v>179</v>
      </c>
      <c r="C19" s="11" t="s">
        <v>180</v>
      </c>
      <c r="D19" s="11" t="s">
        <v>162</v>
      </c>
      <c r="E19" s="11" t="s">
        <v>85</v>
      </c>
      <c r="F19" s="11" t="s">
        <v>109</v>
      </c>
      <c r="G19" s="11" t="s">
        <v>181</v>
      </c>
      <c r="H19" s="11" t="s">
        <v>179</v>
      </c>
      <c r="I19" s="11" t="s">
        <v>85</v>
      </c>
      <c r="J19" s="11" t="s">
        <v>98</v>
      </c>
      <c r="K19" s="11" t="s">
        <v>86</v>
      </c>
      <c r="L19" s="11" t="s">
        <v>182</v>
      </c>
      <c r="M19" s="11" t="s">
        <v>131</v>
      </c>
      <c r="N19" s="11" t="s">
        <v>183</v>
      </c>
      <c r="O19" s="11" t="s">
        <v>86</v>
      </c>
      <c r="P19" s="11" t="s">
        <v>86</v>
      </c>
      <c r="Q19" s="11" t="s">
        <v>184</v>
      </c>
      <c r="R19" s="11" t="s">
        <v>114</v>
      </c>
      <c r="S19" s="11" t="s">
        <v>86</v>
      </c>
      <c r="T19" s="11" t="s">
        <v>89</v>
      </c>
      <c r="U19" s="11" t="s">
        <v>185</v>
      </c>
      <c r="V19" s="11" t="s">
        <v>186</v>
      </c>
      <c r="W19" s="11" t="s">
        <v>187</v>
      </c>
      <c r="Y19" s="1" t="s">
        <v>93</v>
      </c>
      <c r="Z19" s="1" t="s">
        <v>1094</v>
      </c>
      <c r="AA19" s="1">
        <v>5</v>
      </c>
    </row>
    <row r="20" spans="1:27" ht="14.25" x14ac:dyDescent="0.15">
      <c r="A20" s="31"/>
      <c r="O20" s="11"/>
      <c r="P20" s="11"/>
    </row>
    <row r="21" spans="1:27" ht="14.25" x14ac:dyDescent="0.15">
      <c r="A21" s="31"/>
    </row>
    <row r="22" spans="1:27" ht="14.25" x14ac:dyDescent="0.15">
      <c r="A22" s="31"/>
    </row>
    <row r="23" spans="1:27" ht="14.25" x14ac:dyDescent="0.15">
      <c r="A23" s="31"/>
    </row>
    <row r="24" spans="1:27" ht="14.25" x14ac:dyDescent="0.15">
      <c r="A24" s="31"/>
    </row>
    <row r="25" spans="1:27" ht="14.25" x14ac:dyDescent="0.15">
      <c r="A25" s="31"/>
    </row>
    <row r="26" spans="1:27" ht="14.25" x14ac:dyDescent="0.15">
      <c r="A26" s="31"/>
    </row>
    <row r="27" spans="1:27" ht="14.25" x14ac:dyDescent="0.15">
      <c r="A27" s="31"/>
    </row>
    <row r="28" spans="1:27" ht="14.25" x14ac:dyDescent="0.15">
      <c r="A28" s="31"/>
    </row>
    <row r="29" spans="1:27" ht="14.25" x14ac:dyDescent="0.15">
      <c r="A29" s="31"/>
    </row>
    <row r="30" spans="1:27" ht="14.25" x14ac:dyDescent="0.15">
      <c r="A30" s="31"/>
    </row>
    <row r="31" spans="1:27" ht="14.25" x14ac:dyDescent="0.15">
      <c r="A31" s="31"/>
    </row>
    <row r="32" spans="1:27" ht="14.25" x14ac:dyDescent="0.15">
      <c r="A32" s="31"/>
    </row>
    <row r="33" spans="1:1" ht="14.25" x14ac:dyDescent="0.15">
      <c r="A33" s="31"/>
    </row>
    <row r="34" spans="1:1" ht="14.25" x14ac:dyDescent="0.15">
      <c r="A34" s="31"/>
    </row>
    <row r="35" spans="1:1" ht="14.25" x14ac:dyDescent="0.15">
      <c r="A35" s="31"/>
    </row>
    <row r="36" spans="1:1" ht="14.25" x14ac:dyDescent="0.15">
      <c r="A36" s="31"/>
    </row>
    <row r="37" spans="1:1" ht="14.25" x14ac:dyDescent="0.15">
      <c r="A37" s="31"/>
    </row>
    <row r="38" spans="1:1" ht="14.25" x14ac:dyDescent="0.15">
      <c r="A38" s="31"/>
    </row>
    <row r="39" spans="1:1" ht="14.25" x14ac:dyDescent="0.15">
      <c r="A39" s="31"/>
    </row>
    <row r="40" spans="1:1" ht="14.25" x14ac:dyDescent="0.15">
      <c r="A40" s="31"/>
    </row>
    <row r="41" spans="1:1" ht="14.25" x14ac:dyDescent="0.15">
      <c r="A41" s="31"/>
    </row>
    <row r="42" spans="1:1" ht="14.25" x14ac:dyDescent="0.15">
      <c r="A42" s="31"/>
    </row>
    <row r="43" spans="1:1" ht="14.25" x14ac:dyDescent="0.15">
      <c r="A43" s="31"/>
    </row>
    <row r="44" spans="1:1" ht="14.25" x14ac:dyDescent="0.15">
      <c r="A44" s="31"/>
    </row>
    <row r="45" spans="1:1" ht="14.25" x14ac:dyDescent="0.15">
      <c r="A45" s="31"/>
    </row>
    <row r="46" spans="1:1" ht="14.25" x14ac:dyDescent="0.15">
      <c r="A46" s="31"/>
    </row>
    <row r="47" spans="1:1" ht="14.25" x14ac:dyDescent="0.15">
      <c r="A47" s="31"/>
    </row>
    <row r="48" spans="1:1" ht="14.25" x14ac:dyDescent="0.15">
      <c r="A48" s="31"/>
    </row>
    <row r="49" spans="1:1" ht="14.25" x14ac:dyDescent="0.15">
      <c r="A49" s="31"/>
    </row>
    <row r="50" spans="1:1" ht="14.25" x14ac:dyDescent="0.15">
      <c r="A50" s="31"/>
    </row>
    <row r="51" spans="1:1" ht="14.25" x14ac:dyDescent="0.15">
      <c r="A51" s="31"/>
    </row>
    <row r="52" spans="1:1" ht="14.25" x14ac:dyDescent="0.15">
      <c r="A52" s="31"/>
    </row>
    <row r="53" spans="1:1" ht="14.25" x14ac:dyDescent="0.15">
      <c r="A53" s="31"/>
    </row>
    <row r="54" spans="1:1" ht="14.25" x14ac:dyDescent="0.15">
      <c r="A54" s="31"/>
    </row>
    <row r="55" spans="1:1" ht="14.25" x14ac:dyDescent="0.15">
      <c r="A55" s="31"/>
    </row>
    <row r="56" spans="1:1" ht="14.25" x14ac:dyDescent="0.15">
      <c r="A56" s="31"/>
    </row>
    <row r="57" spans="1:1" ht="14.25" x14ac:dyDescent="0.15">
      <c r="A57" s="31"/>
    </row>
    <row r="58" spans="1:1" ht="14.25" x14ac:dyDescent="0.15">
      <c r="A58" s="31"/>
    </row>
  </sheetData>
  <phoneticPr fontId="35" type="noConversion"/>
  <conditionalFormatting sqref="B1:B1048576">
    <cfRule type="duplicateValues" dxfId="14" priority="38"/>
  </conditionalFormatting>
  <pageMargins left="0.69930555555555596" right="0.69930555555555596" top="0.75" bottom="0.75" header="0.3" footer="0.3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V59"/>
  <sheetViews>
    <sheetView workbookViewId="0">
      <pane xSplit="3" ySplit="9" topLeftCell="N10" activePane="bottomRight" state="frozen"/>
      <selection pane="topRight"/>
      <selection pane="bottomLeft"/>
      <selection pane="bottomRight" activeCell="C10" sqref="C10"/>
    </sheetView>
  </sheetViews>
  <sheetFormatPr defaultColWidth="9" defaultRowHeight="13.5" x14ac:dyDescent="0.15"/>
  <cols>
    <col min="1" max="1" width="9" style="1" customWidth="1"/>
    <col min="2" max="2" width="4.5" style="10" customWidth="1"/>
    <col min="3" max="3" width="7.875" style="1" customWidth="1"/>
    <col min="4" max="4" width="6.875" style="1" customWidth="1"/>
    <col min="5" max="5" width="28.75" style="1" customWidth="1"/>
    <col min="6" max="6" width="13.125" style="1" customWidth="1"/>
    <col min="7" max="7" width="15.125" style="1" customWidth="1"/>
    <col min="8" max="8" width="106.375" style="1" customWidth="1"/>
    <col min="9" max="9" width="32.5" style="1" customWidth="1"/>
    <col min="10" max="11" width="14.5" style="1" customWidth="1"/>
    <col min="12" max="14" width="9" style="1" customWidth="1"/>
    <col min="15" max="15" width="67.5" style="1" bestFit="1" customWidth="1"/>
    <col min="16" max="16" width="15.375" style="1" bestFit="1" customWidth="1"/>
    <col min="17" max="17" width="14.25" style="1" bestFit="1" customWidth="1"/>
    <col min="18" max="18" width="9.875" style="1" customWidth="1"/>
    <col min="19" max="19" width="67.5" style="1" bestFit="1" customWidth="1"/>
    <col min="20" max="16384" width="9" style="1"/>
  </cols>
  <sheetData>
    <row r="1" spans="1:22" s="3" customFormat="1" x14ac:dyDescent="0.15">
      <c r="A1" s="2" t="s">
        <v>38</v>
      </c>
      <c r="B1" s="3" t="s">
        <v>39</v>
      </c>
      <c r="C1" s="3" t="s">
        <v>39</v>
      </c>
      <c r="D1" s="3" t="s">
        <v>39</v>
      </c>
      <c r="E1" s="3" t="s">
        <v>39</v>
      </c>
      <c r="F1" s="3" t="s">
        <v>39</v>
      </c>
      <c r="G1" s="3" t="s">
        <v>39</v>
      </c>
      <c r="H1" s="3" t="s">
        <v>39</v>
      </c>
      <c r="I1" s="3" t="s">
        <v>39</v>
      </c>
      <c r="J1" s="3" t="s">
        <v>39</v>
      </c>
      <c r="K1" s="3" t="s">
        <v>39</v>
      </c>
      <c r="L1" s="3" t="s">
        <v>39</v>
      </c>
      <c r="M1" s="3" t="s">
        <v>39</v>
      </c>
      <c r="N1" s="3" t="s">
        <v>39</v>
      </c>
      <c r="O1" s="3" t="s">
        <v>39</v>
      </c>
      <c r="P1" s="3" t="s">
        <v>39</v>
      </c>
      <c r="Q1" s="3" t="s">
        <v>39</v>
      </c>
      <c r="R1" s="3" t="s">
        <v>39</v>
      </c>
      <c r="S1" s="3" t="s">
        <v>39</v>
      </c>
      <c r="T1" s="3" t="s">
        <v>39</v>
      </c>
      <c r="U1" s="3" t="s">
        <v>39</v>
      </c>
      <c r="V1" s="3" t="s">
        <v>39</v>
      </c>
    </row>
    <row r="2" spans="1:22" s="3" customFormat="1" x14ac:dyDescent="0.15">
      <c r="A2" s="2" t="s">
        <v>40</v>
      </c>
      <c r="B2" s="3" t="s">
        <v>39</v>
      </c>
      <c r="C2" s="3" t="s">
        <v>39</v>
      </c>
      <c r="D2" s="3" t="s">
        <v>39</v>
      </c>
      <c r="E2" s="3" t="s">
        <v>39</v>
      </c>
      <c r="F2" s="3" t="s">
        <v>39</v>
      </c>
      <c r="G2" s="3" t="s">
        <v>39</v>
      </c>
      <c r="H2" s="3" t="s">
        <v>39</v>
      </c>
      <c r="I2" s="3" t="s">
        <v>39</v>
      </c>
      <c r="J2" s="3" t="s">
        <v>39</v>
      </c>
      <c r="K2" s="3" t="s">
        <v>39</v>
      </c>
      <c r="L2" s="3" t="s">
        <v>39</v>
      </c>
      <c r="M2" s="3" t="s">
        <v>39</v>
      </c>
      <c r="N2" s="3" t="s">
        <v>39</v>
      </c>
      <c r="O2" s="3" t="s">
        <v>39</v>
      </c>
      <c r="P2" s="3" t="s">
        <v>39</v>
      </c>
      <c r="Q2" s="3" t="s">
        <v>39</v>
      </c>
      <c r="R2" s="3" t="s">
        <v>39</v>
      </c>
      <c r="S2" s="3" t="s">
        <v>39</v>
      </c>
      <c r="T2" s="3" t="s">
        <v>39</v>
      </c>
      <c r="U2" s="3" t="s">
        <v>39</v>
      </c>
      <c r="V2" s="3" t="s">
        <v>39</v>
      </c>
    </row>
    <row r="3" spans="1:22" s="5" customFormat="1" ht="14.25" x14ac:dyDescent="0.15">
      <c r="A3" s="4" t="s">
        <v>39</v>
      </c>
      <c r="B3" s="4" t="s">
        <v>41</v>
      </c>
      <c r="C3" s="5" t="s">
        <v>42</v>
      </c>
      <c r="D3" s="5" t="s">
        <v>42</v>
      </c>
      <c r="E3" s="5" t="s">
        <v>42</v>
      </c>
      <c r="F3" s="5" t="s">
        <v>42</v>
      </c>
      <c r="G3" s="5" t="s">
        <v>42</v>
      </c>
      <c r="H3" s="5" t="s">
        <v>42</v>
      </c>
      <c r="I3" s="5" t="s">
        <v>42</v>
      </c>
      <c r="J3" s="5" t="s">
        <v>41</v>
      </c>
      <c r="K3" s="5" t="s">
        <v>41</v>
      </c>
      <c r="L3" s="5" t="s">
        <v>41</v>
      </c>
      <c r="M3" s="5" t="s">
        <v>41</v>
      </c>
      <c r="N3" s="5" t="s">
        <v>41</v>
      </c>
      <c r="O3" s="5" t="s">
        <v>42</v>
      </c>
      <c r="P3" s="5" t="s">
        <v>41</v>
      </c>
      <c r="Q3" s="5" t="s">
        <v>41</v>
      </c>
      <c r="R3" s="5" t="s">
        <v>41</v>
      </c>
      <c r="S3" s="5" t="s">
        <v>42</v>
      </c>
      <c r="T3" s="5" t="s">
        <v>41</v>
      </c>
      <c r="U3" s="5" t="s">
        <v>989</v>
      </c>
      <c r="V3" s="5" t="s">
        <v>989</v>
      </c>
    </row>
    <row r="4" spans="1:22" s="5" customFormat="1" ht="14.25" x14ac:dyDescent="0.15">
      <c r="A4" s="4"/>
      <c r="B4" s="4" t="s">
        <v>43</v>
      </c>
      <c r="C4" s="4" t="s">
        <v>188</v>
      </c>
      <c r="D4" s="4" t="s">
        <v>44</v>
      </c>
      <c r="E4" s="4" t="s">
        <v>976</v>
      </c>
      <c r="F4" s="4" t="s">
        <v>190</v>
      </c>
      <c r="G4" s="4" t="s">
        <v>191</v>
      </c>
      <c r="H4" s="4" t="s">
        <v>192</v>
      </c>
      <c r="I4" s="4" t="s">
        <v>193</v>
      </c>
      <c r="J4" s="5" t="s">
        <v>194</v>
      </c>
      <c r="K4" s="5" t="s">
        <v>195</v>
      </c>
      <c r="L4" s="5" t="s">
        <v>196</v>
      </c>
      <c r="M4" s="5" t="s">
        <v>197</v>
      </c>
      <c r="N4" s="5" t="s">
        <v>198</v>
      </c>
      <c r="O4" s="5" t="s">
        <v>988</v>
      </c>
      <c r="P4" s="5" t="s">
        <v>200</v>
      </c>
      <c r="Q4" s="5" t="s">
        <v>201</v>
      </c>
      <c r="R4" s="5" t="s">
        <v>202</v>
      </c>
      <c r="S4" s="5" t="s">
        <v>203</v>
      </c>
      <c r="T4" s="5" t="s">
        <v>204</v>
      </c>
      <c r="U4" s="5" t="s">
        <v>982</v>
      </c>
      <c r="V4" s="5" t="s">
        <v>990</v>
      </c>
    </row>
    <row r="5" spans="1:22" s="5" customFormat="1" ht="14.25" x14ac:dyDescent="0.15">
      <c r="A5" s="4"/>
      <c r="B5" s="4" t="str">
        <f>IF(B3="","",IF(B3="INT","i",IF(B3="FLOAT","f",IF(B3="STRING","s"))))</f>
        <v>i</v>
      </c>
      <c r="C5" s="5" t="s">
        <v>68</v>
      </c>
      <c r="D5" s="5" t="s">
        <v>68</v>
      </c>
      <c r="E5" s="5" t="s">
        <v>68</v>
      </c>
      <c r="F5" s="5" t="s">
        <v>68</v>
      </c>
      <c r="G5" s="5" t="s">
        <v>68</v>
      </c>
      <c r="H5" s="5" t="s">
        <v>68</v>
      </c>
      <c r="I5" s="5" t="s">
        <v>68</v>
      </c>
      <c r="J5" s="5" t="s">
        <v>67</v>
      </c>
      <c r="K5" s="5" t="s">
        <v>67</v>
      </c>
      <c r="L5" s="5" t="s">
        <v>67</v>
      </c>
      <c r="M5" s="5" t="s">
        <v>67</v>
      </c>
      <c r="N5" s="5" t="s">
        <v>67</v>
      </c>
      <c r="O5" s="5" t="s">
        <v>68</v>
      </c>
      <c r="P5" s="5" t="s">
        <v>67</v>
      </c>
      <c r="Q5" s="5" t="s">
        <v>67</v>
      </c>
      <c r="R5" s="5" t="s">
        <v>67</v>
      </c>
      <c r="S5" s="5" t="s">
        <v>68</v>
      </c>
      <c r="T5" s="5" t="s">
        <v>67</v>
      </c>
      <c r="U5" s="5" t="s">
        <v>67</v>
      </c>
      <c r="V5" s="5" t="s">
        <v>67</v>
      </c>
    </row>
    <row r="6" spans="1:22" s="5" customFormat="1" ht="14.25" x14ac:dyDescent="0.15">
      <c r="A6" s="4" t="s">
        <v>39</v>
      </c>
      <c r="B6" s="4" t="str">
        <f t="shared" ref="B6:D6" si="0">B5&amp;B4</f>
        <v>iID</v>
      </c>
      <c r="C6" s="5" t="str">
        <f t="shared" si="0"/>
        <v>sRoomID</v>
      </c>
      <c r="D6" s="5" t="str">
        <f t="shared" si="0"/>
        <v>sNotes</v>
      </c>
      <c r="E6" s="5" t="s">
        <v>205</v>
      </c>
      <c r="F6" s="5" t="str">
        <f t="shared" ref="F6:K6" si="1">F5&amp;F4</f>
        <v>sMapAttributes</v>
      </c>
      <c r="G6" s="5" t="str">
        <f t="shared" si="1"/>
        <v>sStandardDefence</v>
      </c>
      <c r="H6" s="5" t="str">
        <f t="shared" si="1"/>
        <v>sRoomIDs</v>
      </c>
      <c r="I6" s="5" t="str">
        <f t="shared" si="1"/>
        <v>sRoomIDs1</v>
      </c>
      <c r="J6" s="5" t="str">
        <f t="shared" si="1"/>
        <v>iCheatValue</v>
      </c>
      <c r="K6" s="5" t="str">
        <f t="shared" si="1"/>
        <v>iBattleValue</v>
      </c>
      <c r="L6" s="5" t="str">
        <f t="shared" ref="L6:Q6" si="2">L5&amp;L4</f>
        <v>iGoldAdd</v>
      </c>
      <c r="M6" s="5" t="str">
        <f t="shared" si="2"/>
        <v>iExpAdd</v>
      </c>
      <c r="N6" s="5" t="str">
        <f t="shared" si="2"/>
        <v>iAwardHero</v>
      </c>
      <c r="O6" s="5" t="str">
        <f>O5&amp;O4</f>
        <v>sOutPut</v>
      </c>
      <c r="P6" s="5" t="str">
        <f t="shared" si="2"/>
        <v>iDropCount</v>
      </c>
      <c r="Q6" s="5" t="str">
        <f t="shared" si="2"/>
        <v>iCatchTime</v>
      </c>
      <c r="R6" s="5" t="str">
        <f t="shared" ref="R6:S6" si="3">R5&amp;R4</f>
        <v>iCatchProb</v>
      </c>
      <c r="S6" s="5" t="str">
        <f t="shared" si="3"/>
        <v>sFirstOutPut</v>
      </c>
      <c r="T6" s="5" t="str">
        <f t="shared" ref="T6:V6" si="4">T5&amp;T4</f>
        <v>iFirstExpAdd</v>
      </c>
      <c r="U6" s="5" t="str">
        <f t="shared" si="4"/>
        <v>iFirstGoldAdd</v>
      </c>
      <c r="V6" s="5" t="str">
        <f t="shared" si="4"/>
        <v>iMonsLv</v>
      </c>
    </row>
    <row r="7" spans="1:22" s="6" customFormat="1" ht="14.25" x14ac:dyDescent="0.15">
      <c r="A7" s="4"/>
      <c r="B7" s="4" t="s">
        <v>206</v>
      </c>
      <c r="C7" s="6" t="s">
        <v>207</v>
      </c>
      <c r="D7" s="6" t="s">
        <v>208</v>
      </c>
      <c r="E7" s="6" t="s">
        <v>209</v>
      </c>
      <c r="F7" s="6" t="s">
        <v>210</v>
      </c>
      <c r="H7" s="6" t="s">
        <v>211</v>
      </c>
      <c r="I7" s="6" t="s">
        <v>212</v>
      </c>
      <c r="J7" s="6" t="s">
        <v>213</v>
      </c>
      <c r="K7" s="6" t="s">
        <v>214</v>
      </c>
      <c r="L7" s="6" t="s">
        <v>215</v>
      </c>
      <c r="M7" s="6" t="s">
        <v>216</v>
      </c>
      <c r="N7" s="6" t="s">
        <v>217</v>
      </c>
      <c r="O7" s="6" t="s">
        <v>218</v>
      </c>
      <c r="P7" s="6" t="s">
        <v>219</v>
      </c>
      <c r="Q7" s="6" t="s">
        <v>220</v>
      </c>
      <c r="R7" s="6" t="s">
        <v>221</v>
      </c>
      <c r="S7" s="6" t="s">
        <v>222</v>
      </c>
      <c r="T7" s="6" t="s">
        <v>983</v>
      </c>
      <c r="U7" s="6" t="s">
        <v>984</v>
      </c>
      <c r="V7" s="6" t="s">
        <v>991</v>
      </c>
    </row>
    <row r="8" spans="1:22" s="6" customFormat="1" ht="14.25" x14ac:dyDescent="0.15">
      <c r="A8" s="4" t="s">
        <v>78</v>
      </c>
      <c r="B8" s="4">
        <v>0</v>
      </c>
      <c r="C8" s="6">
        <v>0</v>
      </c>
      <c r="J8" s="6">
        <v>10000</v>
      </c>
      <c r="K8" s="6">
        <v>10000</v>
      </c>
      <c r="L8" s="6">
        <v>0</v>
      </c>
      <c r="M8" s="6">
        <v>0</v>
      </c>
      <c r="P8" s="6">
        <v>0</v>
      </c>
      <c r="Q8" s="6">
        <v>0</v>
      </c>
      <c r="R8" s="6">
        <v>0</v>
      </c>
      <c r="T8" s="6">
        <v>0</v>
      </c>
      <c r="U8" s="6">
        <v>0</v>
      </c>
      <c r="V8" s="6">
        <v>1</v>
      </c>
    </row>
    <row r="9" spans="1:22" s="8" customFormat="1" ht="14.25" x14ac:dyDescent="0.15">
      <c r="A9" s="7"/>
      <c r="B9" s="7"/>
      <c r="E9" s="9"/>
      <c r="J9" s="8" t="s">
        <v>224</v>
      </c>
      <c r="K9" s="8" t="s">
        <v>224</v>
      </c>
      <c r="O9" s="8" t="s">
        <v>225</v>
      </c>
      <c r="Q9" s="8" t="s">
        <v>226</v>
      </c>
      <c r="R9" s="8" t="s">
        <v>227</v>
      </c>
      <c r="S9" s="8" t="s">
        <v>225</v>
      </c>
    </row>
    <row r="10" spans="1:22" ht="24" x14ac:dyDescent="0.35">
      <c r="A10" s="1" t="s">
        <v>39</v>
      </c>
      <c r="B10" s="10">
        <v>1</v>
      </c>
      <c r="C10" s="14" t="s">
        <v>228</v>
      </c>
      <c r="D10" s="25"/>
      <c r="E10" s="14" t="s">
        <v>1124</v>
      </c>
      <c r="F10" s="14" t="s">
        <v>229</v>
      </c>
      <c r="G10" s="14" t="s">
        <v>86</v>
      </c>
      <c r="H10" s="29" t="s">
        <v>872</v>
      </c>
      <c r="I10" s="14" t="s">
        <v>942</v>
      </c>
      <c r="L10" s="21">
        <v>5</v>
      </c>
      <c r="M10" s="21">
        <v>5</v>
      </c>
      <c r="O10" s="1" t="s">
        <v>1254</v>
      </c>
      <c r="P10" s="1">
        <v>5</v>
      </c>
      <c r="S10" s="1" t="s">
        <v>1106</v>
      </c>
      <c r="T10" s="21">
        <v>0</v>
      </c>
      <c r="U10" s="21">
        <v>5</v>
      </c>
      <c r="V10" s="1">
        <v>1</v>
      </c>
    </row>
    <row r="11" spans="1:22" ht="24" x14ac:dyDescent="0.35">
      <c r="A11" s="1" t="s">
        <v>39</v>
      </c>
      <c r="B11" s="10">
        <v>2</v>
      </c>
      <c r="C11" s="14" t="s">
        <v>230</v>
      </c>
      <c r="D11" s="25"/>
      <c r="E11" s="14" t="s">
        <v>1124</v>
      </c>
      <c r="F11" s="14" t="s">
        <v>229</v>
      </c>
      <c r="G11" s="14" t="s">
        <v>86</v>
      </c>
      <c r="H11" s="29" t="s">
        <v>872</v>
      </c>
      <c r="I11" s="14" t="s">
        <v>943</v>
      </c>
      <c r="L11" s="21">
        <v>5</v>
      </c>
      <c r="M11" s="21">
        <v>5</v>
      </c>
      <c r="O11" s="1" t="s">
        <v>1253</v>
      </c>
      <c r="P11" s="1">
        <v>5</v>
      </c>
      <c r="S11" s="1" t="s">
        <v>1103</v>
      </c>
      <c r="T11" s="21">
        <v>0</v>
      </c>
      <c r="U11" s="21">
        <v>5</v>
      </c>
      <c r="V11" s="1">
        <v>1</v>
      </c>
    </row>
    <row r="12" spans="1:22" ht="24" x14ac:dyDescent="0.35">
      <c r="A12" s="1" t="s">
        <v>39</v>
      </c>
      <c r="B12" s="10">
        <v>3</v>
      </c>
      <c r="C12" s="14" t="s">
        <v>231</v>
      </c>
      <c r="D12" s="25"/>
      <c r="E12" s="14" t="s">
        <v>1124</v>
      </c>
      <c r="F12" s="14" t="s">
        <v>229</v>
      </c>
      <c r="G12" s="14" t="s">
        <v>86</v>
      </c>
      <c r="H12" s="29" t="s">
        <v>873</v>
      </c>
      <c r="I12" s="14" t="s">
        <v>944</v>
      </c>
      <c r="L12" s="21">
        <v>5</v>
      </c>
      <c r="M12" s="21">
        <v>5</v>
      </c>
      <c r="O12" s="1" t="s">
        <v>1103</v>
      </c>
      <c r="P12" s="1">
        <v>5</v>
      </c>
      <c r="S12" s="1" t="s">
        <v>1103</v>
      </c>
      <c r="T12" s="21">
        <v>0</v>
      </c>
      <c r="U12" s="21">
        <v>5</v>
      </c>
      <c r="V12" s="1">
        <v>1</v>
      </c>
    </row>
    <row r="13" spans="1:22" ht="24" x14ac:dyDescent="0.35">
      <c r="A13" s="1" t="s">
        <v>39</v>
      </c>
      <c r="B13" s="10">
        <v>4</v>
      </c>
      <c r="C13" s="14" t="s">
        <v>232</v>
      </c>
      <c r="D13" s="25"/>
      <c r="E13" s="14" t="s">
        <v>1124</v>
      </c>
      <c r="F13" s="14" t="s">
        <v>229</v>
      </c>
      <c r="G13" s="14" t="s">
        <v>86</v>
      </c>
      <c r="H13" s="29" t="s">
        <v>873</v>
      </c>
      <c r="I13" s="14" t="s">
        <v>945</v>
      </c>
      <c r="L13" s="21">
        <v>5</v>
      </c>
      <c r="M13" s="21">
        <v>5</v>
      </c>
      <c r="O13" s="1" t="s">
        <v>1103</v>
      </c>
      <c r="P13" s="1">
        <v>5</v>
      </c>
      <c r="S13" s="1" t="s">
        <v>1103</v>
      </c>
      <c r="T13" s="21">
        <v>0</v>
      </c>
      <c r="U13" s="21">
        <v>5</v>
      </c>
      <c r="V13" s="1">
        <v>1</v>
      </c>
    </row>
    <row r="14" spans="1:22" ht="24" x14ac:dyDescent="0.35">
      <c r="A14" s="1" t="s">
        <v>39</v>
      </c>
      <c r="B14" s="10">
        <v>5</v>
      </c>
      <c r="C14" s="14" t="s">
        <v>233</v>
      </c>
      <c r="D14" s="25"/>
      <c r="E14" s="14" t="s">
        <v>1124</v>
      </c>
      <c r="F14" s="14" t="s">
        <v>229</v>
      </c>
      <c r="G14" s="14" t="s">
        <v>86</v>
      </c>
      <c r="H14" s="14" t="s">
        <v>874</v>
      </c>
      <c r="I14" s="14"/>
      <c r="L14" s="21"/>
      <c r="M14" s="21"/>
      <c r="T14" s="21">
        <v>0</v>
      </c>
      <c r="U14" s="21"/>
      <c r="V14" s="1">
        <v>1</v>
      </c>
    </row>
    <row r="15" spans="1:22" ht="24" x14ac:dyDescent="0.35">
      <c r="A15" s="1" t="s">
        <v>39</v>
      </c>
      <c r="B15" s="10">
        <v>6</v>
      </c>
      <c r="C15" s="14" t="s">
        <v>235</v>
      </c>
      <c r="D15" s="25"/>
      <c r="E15" s="14" t="s">
        <v>1128</v>
      </c>
      <c r="F15" s="14" t="s">
        <v>229</v>
      </c>
      <c r="G15" s="14" t="s">
        <v>86</v>
      </c>
      <c r="H15" s="14" t="s">
        <v>875</v>
      </c>
      <c r="I15" s="14" t="s">
        <v>946</v>
      </c>
      <c r="L15" s="21">
        <v>5</v>
      </c>
      <c r="M15" s="21">
        <v>5</v>
      </c>
      <c r="O15" s="1" t="s">
        <v>1103</v>
      </c>
      <c r="P15" s="1">
        <v>5</v>
      </c>
      <c r="S15" s="1" t="s">
        <v>1103</v>
      </c>
      <c r="T15" s="21">
        <v>0</v>
      </c>
      <c r="U15" s="21">
        <v>5</v>
      </c>
      <c r="V15" s="1">
        <f>V10+1</f>
        <v>2</v>
      </c>
    </row>
    <row r="16" spans="1:22" ht="24" x14ac:dyDescent="0.35">
      <c r="A16" s="1" t="s">
        <v>39</v>
      </c>
      <c r="B16" s="10">
        <v>7</v>
      </c>
      <c r="C16" s="14" t="s">
        <v>236</v>
      </c>
      <c r="D16" s="25"/>
      <c r="E16" s="14" t="s">
        <v>1127</v>
      </c>
      <c r="F16" s="14" t="s">
        <v>229</v>
      </c>
      <c r="G16" s="14" t="s">
        <v>86</v>
      </c>
      <c r="H16" s="14" t="s">
        <v>876</v>
      </c>
      <c r="I16" s="14" t="s">
        <v>947</v>
      </c>
      <c r="L16" s="21">
        <v>5</v>
      </c>
      <c r="M16" s="21">
        <v>5</v>
      </c>
      <c r="O16" s="1" t="s">
        <v>1103</v>
      </c>
      <c r="P16" s="1">
        <v>5</v>
      </c>
      <c r="S16" s="1" t="s">
        <v>1103</v>
      </c>
      <c r="T16" s="21">
        <v>0</v>
      </c>
      <c r="U16" s="21">
        <v>5</v>
      </c>
      <c r="V16" s="1">
        <f t="shared" ref="V16:V59" si="5">V11+1</f>
        <v>2</v>
      </c>
    </row>
    <row r="17" spans="1:22" ht="24" x14ac:dyDescent="0.35">
      <c r="A17" s="1" t="s">
        <v>39</v>
      </c>
      <c r="B17" s="10">
        <v>8</v>
      </c>
      <c r="C17" s="14" t="s">
        <v>237</v>
      </c>
      <c r="D17" s="25"/>
      <c r="E17" s="14" t="s">
        <v>1127</v>
      </c>
      <c r="F17" s="14" t="s">
        <v>229</v>
      </c>
      <c r="G17" s="14" t="s">
        <v>86</v>
      </c>
      <c r="H17" s="14" t="s">
        <v>876</v>
      </c>
      <c r="I17" s="14" t="s">
        <v>948</v>
      </c>
      <c r="L17" s="21">
        <v>5</v>
      </c>
      <c r="M17" s="21">
        <v>5</v>
      </c>
      <c r="O17" s="1" t="s">
        <v>1103</v>
      </c>
      <c r="P17" s="1">
        <v>5</v>
      </c>
      <c r="S17" s="1" t="s">
        <v>1103</v>
      </c>
      <c r="T17" s="21">
        <v>0</v>
      </c>
      <c r="U17" s="21">
        <v>5</v>
      </c>
      <c r="V17" s="1">
        <f t="shared" si="5"/>
        <v>2</v>
      </c>
    </row>
    <row r="18" spans="1:22" ht="24" x14ac:dyDescent="0.35">
      <c r="A18" s="1" t="s">
        <v>39</v>
      </c>
      <c r="B18" s="10">
        <v>9</v>
      </c>
      <c r="C18" s="14" t="s">
        <v>238</v>
      </c>
      <c r="D18" s="25"/>
      <c r="E18" s="14" t="s">
        <v>1127</v>
      </c>
      <c r="F18" s="14" t="s">
        <v>229</v>
      </c>
      <c r="G18" s="14" t="s">
        <v>86</v>
      </c>
      <c r="H18" s="14" t="s">
        <v>877</v>
      </c>
      <c r="I18" s="14" t="s">
        <v>949</v>
      </c>
      <c r="L18" s="21">
        <v>5</v>
      </c>
      <c r="M18" s="21">
        <v>5</v>
      </c>
      <c r="O18" s="1" t="s">
        <v>1103</v>
      </c>
      <c r="P18" s="1">
        <v>5</v>
      </c>
      <c r="S18" s="1" t="s">
        <v>1103</v>
      </c>
      <c r="T18" s="21">
        <v>0</v>
      </c>
      <c r="U18" s="21">
        <v>5</v>
      </c>
      <c r="V18" s="1">
        <f t="shared" si="5"/>
        <v>2</v>
      </c>
    </row>
    <row r="19" spans="1:22" s="24" customFormat="1" ht="24" x14ac:dyDescent="0.35">
      <c r="A19" s="24" t="s">
        <v>39</v>
      </c>
      <c r="B19" s="27">
        <v>10</v>
      </c>
      <c r="C19" s="19" t="s">
        <v>239</v>
      </c>
      <c r="D19" s="30"/>
      <c r="E19" s="19" t="s">
        <v>1127</v>
      </c>
      <c r="F19" s="19" t="s">
        <v>229</v>
      </c>
      <c r="G19" s="19" t="s">
        <v>86</v>
      </c>
      <c r="H19" s="19" t="s">
        <v>1095</v>
      </c>
      <c r="I19" s="19"/>
      <c r="L19" s="22">
        <v>19</v>
      </c>
      <c r="M19" s="22">
        <v>19</v>
      </c>
      <c r="O19" s="24" t="s">
        <v>1104</v>
      </c>
      <c r="P19" s="24">
        <v>1</v>
      </c>
      <c r="Q19" s="24">
        <v>35</v>
      </c>
      <c r="R19" s="24">
        <v>10000</v>
      </c>
      <c r="S19" s="24" t="s">
        <v>1104</v>
      </c>
      <c r="T19" s="21">
        <v>0</v>
      </c>
      <c r="U19" s="22">
        <v>19</v>
      </c>
      <c r="V19" s="1">
        <f t="shared" si="5"/>
        <v>2</v>
      </c>
    </row>
    <row r="20" spans="1:22" ht="24" x14ac:dyDescent="0.35">
      <c r="A20" s="1" t="s">
        <v>39</v>
      </c>
      <c r="B20" s="10">
        <v>11</v>
      </c>
      <c r="C20" s="14" t="s">
        <v>240</v>
      </c>
      <c r="D20" s="25"/>
      <c r="E20" s="14" t="s">
        <v>1025</v>
      </c>
      <c r="F20" s="14" t="s">
        <v>241</v>
      </c>
      <c r="G20" s="14" t="s">
        <v>86</v>
      </c>
      <c r="H20" s="14" t="s">
        <v>878</v>
      </c>
      <c r="I20" s="14"/>
      <c r="L20" s="21">
        <v>5</v>
      </c>
      <c r="M20" s="21">
        <v>5</v>
      </c>
      <c r="O20" s="1" t="s">
        <v>1103</v>
      </c>
      <c r="P20" s="1">
        <v>5</v>
      </c>
      <c r="S20" s="1" t="s">
        <v>1103</v>
      </c>
      <c r="T20" s="21">
        <v>0</v>
      </c>
      <c r="U20" s="21">
        <v>5</v>
      </c>
      <c r="V20" s="1">
        <f t="shared" si="5"/>
        <v>3</v>
      </c>
    </row>
    <row r="21" spans="1:22" ht="24" x14ac:dyDescent="0.35">
      <c r="A21" s="1" t="s">
        <v>39</v>
      </c>
      <c r="B21" s="10">
        <v>12</v>
      </c>
      <c r="C21" s="14" t="s">
        <v>242</v>
      </c>
      <c r="D21" s="25"/>
      <c r="E21" s="14" t="s">
        <v>1025</v>
      </c>
      <c r="F21" s="14" t="s">
        <v>241</v>
      </c>
      <c r="G21" s="14" t="s">
        <v>86</v>
      </c>
      <c r="H21" s="14" t="s">
        <v>878</v>
      </c>
      <c r="I21" s="14"/>
      <c r="L21" s="21">
        <v>5</v>
      </c>
      <c r="M21" s="21">
        <v>5</v>
      </c>
      <c r="O21" s="1" t="s">
        <v>1103</v>
      </c>
      <c r="P21" s="1">
        <v>5</v>
      </c>
      <c r="S21" s="1" t="s">
        <v>1103</v>
      </c>
      <c r="T21" s="21">
        <v>0</v>
      </c>
      <c r="U21" s="21">
        <v>5</v>
      </c>
      <c r="V21" s="1">
        <f t="shared" si="5"/>
        <v>3</v>
      </c>
    </row>
    <row r="22" spans="1:22" ht="24" x14ac:dyDescent="0.35">
      <c r="A22" s="1" t="s">
        <v>39</v>
      </c>
      <c r="B22" s="10">
        <v>13</v>
      </c>
      <c r="C22" s="14" t="s">
        <v>243</v>
      </c>
      <c r="D22" s="25"/>
      <c r="E22" s="14" t="s">
        <v>1025</v>
      </c>
      <c r="F22" s="14" t="s">
        <v>241</v>
      </c>
      <c r="G22" s="14" t="s">
        <v>86</v>
      </c>
      <c r="H22" s="14" t="s">
        <v>879</v>
      </c>
      <c r="I22" s="14" t="s">
        <v>950</v>
      </c>
      <c r="L22" s="21">
        <v>5</v>
      </c>
      <c r="M22" s="21">
        <v>5</v>
      </c>
      <c r="O22" s="1" t="s">
        <v>1103</v>
      </c>
      <c r="P22" s="1">
        <v>5</v>
      </c>
      <c r="S22" s="1" t="s">
        <v>1103</v>
      </c>
      <c r="T22" s="21">
        <v>0</v>
      </c>
      <c r="U22" s="21">
        <v>5</v>
      </c>
      <c r="V22" s="1">
        <f t="shared" si="5"/>
        <v>3</v>
      </c>
    </row>
    <row r="23" spans="1:22" ht="24" x14ac:dyDescent="0.35">
      <c r="A23" s="1" t="s">
        <v>39</v>
      </c>
      <c r="B23" s="10">
        <v>14</v>
      </c>
      <c r="C23" s="14" t="s">
        <v>244</v>
      </c>
      <c r="D23" s="25"/>
      <c r="E23" s="14" t="s">
        <v>1025</v>
      </c>
      <c r="F23" s="14" t="s">
        <v>241</v>
      </c>
      <c r="G23" s="14" t="s">
        <v>86</v>
      </c>
      <c r="H23" s="14" t="s">
        <v>879</v>
      </c>
      <c r="I23" s="26" t="s">
        <v>951</v>
      </c>
      <c r="L23" s="21">
        <v>5</v>
      </c>
      <c r="M23" s="21">
        <v>5</v>
      </c>
      <c r="O23" s="1" t="s">
        <v>1103</v>
      </c>
      <c r="P23" s="1">
        <v>5</v>
      </c>
      <c r="S23" s="1" t="s">
        <v>1103</v>
      </c>
      <c r="T23" s="21">
        <v>0</v>
      </c>
      <c r="U23" s="21">
        <v>5</v>
      </c>
      <c r="V23" s="1">
        <f t="shared" si="5"/>
        <v>3</v>
      </c>
    </row>
    <row r="24" spans="1:22" ht="24" x14ac:dyDescent="0.35">
      <c r="A24" s="1" t="s">
        <v>39</v>
      </c>
      <c r="B24" s="10">
        <v>15</v>
      </c>
      <c r="C24" s="14" t="s">
        <v>245</v>
      </c>
      <c r="D24" s="25"/>
      <c r="E24" s="14" t="s">
        <v>1025</v>
      </c>
      <c r="F24" s="14" t="s">
        <v>241</v>
      </c>
      <c r="G24" s="14" t="s">
        <v>86</v>
      </c>
      <c r="H24" s="14" t="s">
        <v>874</v>
      </c>
      <c r="I24" s="26"/>
      <c r="L24" s="21"/>
      <c r="M24" s="21"/>
      <c r="T24" s="21">
        <v>0</v>
      </c>
      <c r="U24" s="21"/>
      <c r="V24" s="1">
        <f t="shared" si="5"/>
        <v>3</v>
      </c>
    </row>
    <row r="25" spans="1:22" ht="24" x14ac:dyDescent="0.35">
      <c r="A25" s="1" t="s">
        <v>39</v>
      </c>
      <c r="B25" s="10">
        <v>16</v>
      </c>
      <c r="C25" s="14" t="s">
        <v>246</v>
      </c>
      <c r="D25" s="25"/>
      <c r="E25" s="14" t="s">
        <v>1026</v>
      </c>
      <c r="F25" s="14" t="s">
        <v>241</v>
      </c>
      <c r="G25" s="14" t="s">
        <v>86</v>
      </c>
      <c r="H25" s="14" t="s">
        <v>880</v>
      </c>
      <c r="I25" s="14" t="s">
        <v>952</v>
      </c>
      <c r="L25" s="21">
        <v>5</v>
      </c>
      <c r="M25" s="21">
        <v>5</v>
      </c>
      <c r="O25" s="1" t="s">
        <v>1103</v>
      </c>
      <c r="P25" s="1">
        <v>5</v>
      </c>
      <c r="S25" s="1" t="s">
        <v>1103</v>
      </c>
      <c r="T25" s="21">
        <v>0</v>
      </c>
      <c r="U25" s="21">
        <v>5</v>
      </c>
      <c r="V25" s="1">
        <f t="shared" si="5"/>
        <v>4</v>
      </c>
    </row>
    <row r="26" spans="1:22" ht="24" x14ac:dyDescent="0.35">
      <c r="A26" s="1" t="s">
        <v>39</v>
      </c>
      <c r="B26" s="10">
        <v>17</v>
      </c>
      <c r="C26" s="14" t="s">
        <v>247</v>
      </c>
      <c r="D26" s="25"/>
      <c r="E26" s="14" t="s">
        <v>1026</v>
      </c>
      <c r="F26" s="14" t="s">
        <v>241</v>
      </c>
      <c r="G26" s="14" t="s">
        <v>86</v>
      </c>
      <c r="H26" s="14" t="s">
        <v>881</v>
      </c>
      <c r="I26" s="25"/>
      <c r="L26" s="21">
        <v>5</v>
      </c>
      <c r="M26" s="21">
        <v>5</v>
      </c>
      <c r="O26" s="1" t="s">
        <v>1103</v>
      </c>
      <c r="P26" s="1">
        <v>5</v>
      </c>
      <c r="S26" s="1" t="s">
        <v>1103</v>
      </c>
      <c r="T26" s="21">
        <v>0</v>
      </c>
      <c r="U26" s="21">
        <v>5</v>
      </c>
      <c r="V26" s="1">
        <f t="shared" si="5"/>
        <v>4</v>
      </c>
    </row>
    <row r="27" spans="1:22" ht="24" x14ac:dyDescent="0.35">
      <c r="A27" s="1" t="s">
        <v>39</v>
      </c>
      <c r="B27" s="10">
        <v>18</v>
      </c>
      <c r="C27" s="14" t="s">
        <v>248</v>
      </c>
      <c r="D27" s="25"/>
      <c r="E27" s="14" t="s">
        <v>1026</v>
      </c>
      <c r="F27" s="14" t="s">
        <v>241</v>
      </c>
      <c r="G27" s="14" t="s">
        <v>86</v>
      </c>
      <c r="H27" s="14" t="s">
        <v>881</v>
      </c>
      <c r="I27" s="25"/>
      <c r="L27" s="21">
        <v>5</v>
      </c>
      <c r="M27" s="21">
        <v>5</v>
      </c>
      <c r="O27" s="1" t="s">
        <v>1103</v>
      </c>
      <c r="P27" s="1">
        <v>5</v>
      </c>
      <c r="S27" s="1" t="s">
        <v>1103</v>
      </c>
      <c r="T27" s="21">
        <v>0</v>
      </c>
      <c r="U27" s="21">
        <v>5</v>
      </c>
      <c r="V27" s="1">
        <f t="shared" si="5"/>
        <v>4</v>
      </c>
    </row>
    <row r="28" spans="1:22" ht="24" x14ac:dyDescent="0.35">
      <c r="A28" s="1" t="s">
        <v>39</v>
      </c>
      <c r="B28" s="10">
        <v>19</v>
      </c>
      <c r="C28" s="14" t="s">
        <v>249</v>
      </c>
      <c r="D28" s="25"/>
      <c r="E28" s="14" t="s">
        <v>1026</v>
      </c>
      <c r="F28" s="14" t="s">
        <v>241</v>
      </c>
      <c r="G28" s="14" t="s">
        <v>86</v>
      </c>
      <c r="H28" s="14" t="s">
        <v>882</v>
      </c>
      <c r="I28" s="25"/>
      <c r="L28" s="21">
        <v>5</v>
      </c>
      <c r="M28" s="21">
        <v>5</v>
      </c>
      <c r="O28" s="1" t="s">
        <v>1103</v>
      </c>
      <c r="P28" s="1">
        <v>5</v>
      </c>
      <c r="S28" s="1" t="s">
        <v>1103</v>
      </c>
      <c r="T28" s="21">
        <v>0</v>
      </c>
      <c r="U28" s="21">
        <v>5</v>
      </c>
      <c r="V28" s="1">
        <f t="shared" si="5"/>
        <v>4</v>
      </c>
    </row>
    <row r="29" spans="1:22" s="24" customFormat="1" ht="24" x14ac:dyDescent="0.35">
      <c r="A29" s="24" t="s">
        <v>39</v>
      </c>
      <c r="B29" s="27">
        <v>20</v>
      </c>
      <c r="C29" s="19" t="s">
        <v>250</v>
      </c>
      <c r="D29" s="30"/>
      <c r="E29" s="19" t="s">
        <v>1026</v>
      </c>
      <c r="F29" s="19" t="s">
        <v>241</v>
      </c>
      <c r="G29" s="19" t="s">
        <v>86</v>
      </c>
      <c r="H29" s="19" t="s">
        <v>1096</v>
      </c>
      <c r="I29" s="19"/>
      <c r="L29" s="22">
        <v>19</v>
      </c>
      <c r="M29" s="22">
        <v>19</v>
      </c>
      <c r="O29" s="24" t="s">
        <v>1105</v>
      </c>
      <c r="P29" s="24">
        <v>1</v>
      </c>
      <c r="Q29" s="24">
        <v>35</v>
      </c>
      <c r="R29" s="24">
        <v>10000</v>
      </c>
      <c r="S29" s="24" t="s">
        <v>1105</v>
      </c>
      <c r="T29" s="21">
        <v>0</v>
      </c>
      <c r="U29" s="22">
        <v>19</v>
      </c>
      <c r="V29" s="1">
        <f t="shared" si="5"/>
        <v>4</v>
      </c>
    </row>
    <row r="30" spans="1:22" ht="24" x14ac:dyDescent="0.35">
      <c r="A30" s="1" t="s">
        <v>39</v>
      </c>
      <c r="B30" s="10">
        <v>21</v>
      </c>
      <c r="C30" s="14" t="s">
        <v>251</v>
      </c>
      <c r="D30" s="25"/>
      <c r="E30" s="14" t="s">
        <v>1027</v>
      </c>
      <c r="F30" s="14" t="s">
        <v>241</v>
      </c>
      <c r="G30" s="14" t="s">
        <v>86</v>
      </c>
      <c r="H30" s="14" t="s">
        <v>883</v>
      </c>
      <c r="I30" s="14"/>
      <c r="L30" s="21">
        <v>5</v>
      </c>
      <c r="M30" s="21">
        <v>5</v>
      </c>
      <c r="O30" s="1" t="s">
        <v>1103</v>
      </c>
      <c r="P30" s="1">
        <v>5</v>
      </c>
      <c r="S30" s="1" t="s">
        <v>1103</v>
      </c>
      <c r="T30" s="21">
        <v>0</v>
      </c>
      <c r="U30" s="21">
        <v>5</v>
      </c>
      <c r="V30" s="1">
        <f t="shared" si="5"/>
        <v>5</v>
      </c>
    </row>
    <row r="31" spans="1:22" ht="24" x14ac:dyDescent="0.35">
      <c r="A31" s="1" t="s">
        <v>39</v>
      </c>
      <c r="B31" s="10">
        <v>22</v>
      </c>
      <c r="C31" s="14" t="s">
        <v>252</v>
      </c>
      <c r="D31" s="25"/>
      <c r="E31" s="14" t="s">
        <v>1027</v>
      </c>
      <c r="F31" s="14" t="s">
        <v>241</v>
      </c>
      <c r="G31" s="14" t="s">
        <v>86</v>
      </c>
      <c r="H31" s="14" t="s">
        <v>883</v>
      </c>
      <c r="I31" s="26" t="s">
        <v>953</v>
      </c>
      <c r="L31" s="21">
        <v>5</v>
      </c>
      <c r="M31" s="21">
        <v>5</v>
      </c>
      <c r="O31" s="1" t="s">
        <v>1103</v>
      </c>
      <c r="P31" s="1">
        <v>5</v>
      </c>
      <c r="S31" s="1" t="s">
        <v>1103</v>
      </c>
      <c r="T31" s="21">
        <v>0</v>
      </c>
      <c r="U31" s="21">
        <v>5</v>
      </c>
      <c r="V31" s="1">
        <f t="shared" si="5"/>
        <v>5</v>
      </c>
    </row>
    <row r="32" spans="1:22" ht="24" x14ac:dyDescent="0.35">
      <c r="A32" s="1" t="s">
        <v>39</v>
      </c>
      <c r="B32" s="10">
        <v>23</v>
      </c>
      <c r="C32" s="14" t="s">
        <v>253</v>
      </c>
      <c r="D32" s="25"/>
      <c r="E32" s="14" t="s">
        <v>1027</v>
      </c>
      <c r="F32" s="14" t="s">
        <v>241</v>
      </c>
      <c r="G32" s="14" t="s">
        <v>86</v>
      </c>
      <c r="H32" s="14" t="s">
        <v>884</v>
      </c>
      <c r="I32" s="14" t="s">
        <v>954</v>
      </c>
      <c r="L32" s="21">
        <v>5</v>
      </c>
      <c r="M32" s="21">
        <v>5</v>
      </c>
      <c r="O32" s="1" t="s">
        <v>1103</v>
      </c>
      <c r="P32" s="1">
        <v>5</v>
      </c>
      <c r="S32" s="1" t="s">
        <v>1103</v>
      </c>
      <c r="T32" s="21">
        <v>0</v>
      </c>
      <c r="U32" s="21">
        <v>5</v>
      </c>
      <c r="V32" s="1">
        <f t="shared" si="5"/>
        <v>5</v>
      </c>
    </row>
    <row r="33" spans="1:22" ht="24" x14ac:dyDescent="0.35">
      <c r="A33" s="1" t="s">
        <v>39</v>
      </c>
      <c r="B33" s="10">
        <v>24</v>
      </c>
      <c r="C33" s="14" t="s">
        <v>254</v>
      </c>
      <c r="D33" s="25"/>
      <c r="E33" s="14" t="s">
        <v>1027</v>
      </c>
      <c r="F33" s="14" t="s">
        <v>241</v>
      </c>
      <c r="G33" s="14" t="s">
        <v>86</v>
      </c>
      <c r="H33" s="14" t="s">
        <v>884</v>
      </c>
      <c r="I33" s="25"/>
      <c r="L33" s="21">
        <v>5</v>
      </c>
      <c r="M33" s="21">
        <v>5</v>
      </c>
      <c r="O33" s="1" t="s">
        <v>1103</v>
      </c>
      <c r="P33" s="1">
        <v>5</v>
      </c>
      <c r="S33" s="1" t="s">
        <v>1103</v>
      </c>
      <c r="T33" s="21">
        <v>0</v>
      </c>
      <c r="U33" s="21">
        <v>5</v>
      </c>
      <c r="V33" s="1">
        <f t="shared" si="5"/>
        <v>5</v>
      </c>
    </row>
    <row r="34" spans="1:22" ht="24" x14ac:dyDescent="0.35">
      <c r="A34" s="1" t="s">
        <v>39</v>
      </c>
      <c r="B34" s="10">
        <v>25</v>
      </c>
      <c r="C34" s="14" t="s">
        <v>255</v>
      </c>
      <c r="D34" s="25"/>
      <c r="E34" s="14" t="s">
        <v>1027</v>
      </c>
      <c r="F34" s="14" t="s">
        <v>241</v>
      </c>
      <c r="G34" s="14" t="s">
        <v>86</v>
      </c>
      <c r="H34" s="14" t="s">
        <v>874</v>
      </c>
      <c r="I34" s="25"/>
      <c r="L34" s="21"/>
      <c r="M34" s="21"/>
      <c r="T34" s="21">
        <v>0</v>
      </c>
      <c r="U34" s="21"/>
      <c r="V34" s="1">
        <f t="shared" si="5"/>
        <v>5</v>
      </c>
    </row>
    <row r="35" spans="1:22" ht="24" x14ac:dyDescent="0.35">
      <c r="A35" s="1" t="s">
        <v>39</v>
      </c>
      <c r="B35" s="10">
        <v>26</v>
      </c>
      <c r="C35" s="14" t="s">
        <v>256</v>
      </c>
      <c r="D35" s="25"/>
      <c r="E35" s="14" t="s">
        <v>1028</v>
      </c>
      <c r="F35" s="14" t="s">
        <v>257</v>
      </c>
      <c r="G35" s="14" t="s">
        <v>86</v>
      </c>
      <c r="H35" s="14" t="s">
        <v>885</v>
      </c>
      <c r="I35" s="25" t="s">
        <v>955</v>
      </c>
      <c r="L35" s="21">
        <v>5</v>
      </c>
      <c r="M35" s="21">
        <v>5</v>
      </c>
      <c r="O35" s="1" t="s">
        <v>1103</v>
      </c>
      <c r="P35" s="1">
        <v>5</v>
      </c>
      <c r="S35" s="1" t="s">
        <v>1103</v>
      </c>
      <c r="T35" s="21">
        <v>0</v>
      </c>
      <c r="U35" s="21">
        <v>5</v>
      </c>
      <c r="V35" s="1">
        <f t="shared" si="5"/>
        <v>6</v>
      </c>
    </row>
    <row r="36" spans="1:22" ht="24" x14ac:dyDescent="0.35">
      <c r="A36" s="1" t="s">
        <v>39</v>
      </c>
      <c r="B36" s="10">
        <v>27</v>
      </c>
      <c r="C36" s="14" t="s">
        <v>258</v>
      </c>
      <c r="D36" s="25"/>
      <c r="E36" s="14" t="s">
        <v>1028</v>
      </c>
      <c r="F36" s="14" t="s">
        <v>257</v>
      </c>
      <c r="G36" s="14" t="s">
        <v>86</v>
      </c>
      <c r="H36" s="14" t="s">
        <v>886</v>
      </c>
      <c r="I36" s="25"/>
      <c r="L36" s="21">
        <v>5</v>
      </c>
      <c r="M36" s="21">
        <v>5</v>
      </c>
      <c r="O36" s="1" t="s">
        <v>1103</v>
      </c>
      <c r="P36" s="1">
        <v>5</v>
      </c>
      <c r="S36" s="1" t="s">
        <v>1103</v>
      </c>
      <c r="T36" s="21">
        <v>0</v>
      </c>
      <c r="U36" s="21">
        <v>5</v>
      </c>
      <c r="V36" s="1">
        <f t="shared" si="5"/>
        <v>6</v>
      </c>
    </row>
    <row r="37" spans="1:22" ht="24" x14ac:dyDescent="0.35">
      <c r="A37" s="1" t="s">
        <v>39</v>
      </c>
      <c r="B37" s="10">
        <v>28</v>
      </c>
      <c r="C37" s="14" t="s">
        <v>259</v>
      </c>
      <c r="D37" s="25"/>
      <c r="E37" s="14" t="s">
        <v>1028</v>
      </c>
      <c r="F37" s="14" t="s">
        <v>257</v>
      </c>
      <c r="G37" s="14" t="s">
        <v>86</v>
      </c>
      <c r="H37" s="14" t="s">
        <v>980</v>
      </c>
      <c r="I37" s="25"/>
      <c r="L37" s="21">
        <v>5</v>
      </c>
      <c r="M37" s="21">
        <v>5</v>
      </c>
      <c r="O37" s="1" t="s">
        <v>1103</v>
      </c>
      <c r="P37" s="1">
        <v>5</v>
      </c>
      <c r="S37" s="1" t="s">
        <v>1103</v>
      </c>
      <c r="T37" s="21">
        <v>0</v>
      </c>
      <c r="U37" s="21">
        <v>5</v>
      </c>
      <c r="V37" s="1">
        <f t="shared" si="5"/>
        <v>6</v>
      </c>
    </row>
    <row r="38" spans="1:22" ht="24" x14ac:dyDescent="0.35">
      <c r="A38" s="1" t="s">
        <v>39</v>
      </c>
      <c r="B38" s="10">
        <v>29</v>
      </c>
      <c r="C38" s="14" t="s">
        <v>260</v>
      </c>
      <c r="D38" s="25"/>
      <c r="E38" s="14" t="s">
        <v>1028</v>
      </c>
      <c r="F38" s="14" t="s">
        <v>257</v>
      </c>
      <c r="G38" s="14" t="s">
        <v>86</v>
      </c>
      <c r="H38" s="14" t="s">
        <v>887</v>
      </c>
      <c r="I38" s="25"/>
      <c r="L38" s="21">
        <v>5</v>
      </c>
      <c r="M38" s="21">
        <v>5</v>
      </c>
      <c r="O38" s="1" t="s">
        <v>1103</v>
      </c>
      <c r="P38" s="1">
        <v>5</v>
      </c>
      <c r="S38" s="1" t="s">
        <v>1103</v>
      </c>
      <c r="T38" s="21">
        <v>0</v>
      </c>
      <c r="U38" s="21">
        <v>5</v>
      </c>
      <c r="V38" s="1">
        <f t="shared" si="5"/>
        <v>6</v>
      </c>
    </row>
    <row r="39" spans="1:22" s="24" customFormat="1" ht="24" x14ac:dyDescent="0.35">
      <c r="A39" s="24" t="s">
        <v>39</v>
      </c>
      <c r="B39" s="27">
        <v>30</v>
      </c>
      <c r="C39" s="19" t="s">
        <v>261</v>
      </c>
      <c r="D39" s="30"/>
      <c r="E39" s="19" t="s">
        <v>1028</v>
      </c>
      <c r="F39" s="19" t="s">
        <v>257</v>
      </c>
      <c r="G39" s="19" t="s">
        <v>86</v>
      </c>
      <c r="H39" s="19" t="s">
        <v>1130</v>
      </c>
      <c r="I39" s="25"/>
      <c r="L39" s="22">
        <v>19</v>
      </c>
      <c r="M39" s="22">
        <v>19</v>
      </c>
      <c r="O39" s="24" t="s">
        <v>1105</v>
      </c>
      <c r="P39" s="24">
        <v>1</v>
      </c>
      <c r="Q39" s="24">
        <v>35</v>
      </c>
      <c r="R39" s="24">
        <v>10000</v>
      </c>
      <c r="S39" s="24" t="s">
        <v>1105</v>
      </c>
      <c r="T39" s="21">
        <v>0</v>
      </c>
      <c r="U39" s="22">
        <v>19</v>
      </c>
      <c r="V39" s="1">
        <f t="shared" si="5"/>
        <v>6</v>
      </c>
    </row>
    <row r="40" spans="1:22" ht="24" x14ac:dyDescent="0.35">
      <c r="A40" s="1" t="s">
        <v>39</v>
      </c>
      <c r="B40" s="10">
        <v>31</v>
      </c>
      <c r="C40" s="14" t="s">
        <v>262</v>
      </c>
      <c r="D40" s="25"/>
      <c r="E40" s="14" t="s">
        <v>1029</v>
      </c>
      <c r="F40" s="14" t="s">
        <v>257</v>
      </c>
      <c r="G40" s="14" t="s">
        <v>86</v>
      </c>
      <c r="H40" s="14" t="s">
        <v>888</v>
      </c>
      <c r="I40" s="25"/>
      <c r="L40" s="21">
        <v>5</v>
      </c>
      <c r="M40" s="21">
        <v>5</v>
      </c>
      <c r="O40" s="1" t="s">
        <v>1103</v>
      </c>
      <c r="P40" s="1">
        <v>5</v>
      </c>
      <c r="S40" s="1" t="s">
        <v>1103</v>
      </c>
      <c r="T40" s="21">
        <v>0</v>
      </c>
      <c r="U40" s="21">
        <v>5</v>
      </c>
      <c r="V40" s="1">
        <f t="shared" si="5"/>
        <v>7</v>
      </c>
    </row>
    <row r="41" spans="1:22" ht="24" x14ac:dyDescent="0.35">
      <c r="A41" s="1" t="s">
        <v>39</v>
      </c>
      <c r="B41" s="10">
        <v>32</v>
      </c>
      <c r="C41" s="14" t="s">
        <v>263</v>
      </c>
      <c r="D41" s="25"/>
      <c r="E41" s="14" t="s">
        <v>1029</v>
      </c>
      <c r="F41" s="14" t="s">
        <v>257</v>
      </c>
      <c r="G41" s="14" t="s">
        <v>86</v>
      </c>
      <c r="H41" s="14" t="s">
        <v>889</v>
      </c>
      <c r="I41" s="25"/>
      <c r="L41" s="21">
        <v>5</v>
      </c>
      <c r="M41" s="21">
        <v>5</v>
      </c>
      <c r="O41" s="1" t="s">
        <v>1103</v>
      </c>
      <c r="P41" s="1">
        <v>5</v>
      </c>
      <c r="S41" s="1" t="s">
        <v>1103</v>
      </c>
      <c r="T41" s="21">
        <v>0</v>
      </c>
      <c r="U41" s="21">
        <v>5</v>
      </c>
      <c r="V41" s="1">
        <f t="shared" si="5"/>
        <v>7</v>
      </c>
    </row>
    <row r="42" spans="1:22" ht="24" x14ac:dyDescent="0.35">
      <c r="A42" s="1" t="s">
        <v>39</v>
      </c>
      <c r="B42" s="10">
        <v>33</v>
      </c>
      <c r="C42" s="14" t="s">
        <v>264</v>
      </c>
      <c r="D42" s="25"/>
      <c r="E42" s="14" t="s">
        <v>1029</v>
      </c>
      <c r="F42" s="14" t="s">
        <v>257</v>
      </c>
      <c r="G42" s="14" t="s">
        <v>86</v>
      </c>
      <c r="H42" s="14" t="s">
        <v>890</v>
      </c>
      <c r="I42" s="25"/>
      <c r="L42" s="21">
        <v>5</v>
      </c>
      <c r="M42" s="21">
        <v>5</v>
      </c>
      <c r="O42" s="1" t="s">
        <v>1103</v>
      </c>
      <c r="P42" s="1">
        <v>5</v>
      </c>
      <c r="S42" s="1" t="s">
        <v>1103</v>
      </c>
      <c r="T42" s="21">
        <v>0</v>
      </c>
      <c r="U42" s="21">
        <v>5</v>
      </c>
      <c r="V42" s="1">
        <f t="shared" si="5"/>
        <v>7</v>
      </c>
    </row>
    <row r="43" spans="1:22" ht="24" x14ac:dyDescent="0.35">
      <c r="A43" s="1" t="s">
        <v>39</v>
      </c>
      <c r="B43" s="10">
        <v>34</v>
      </c>
      <c r="C43" s="14" t="s">
        <v>265</v>
      </c>
      <c r="D43" s="25"/>
      <c r="E43" s="14" t="s">
        <v>1029</v>
      </c>
      <c r="F43" s="14" t="s">
        <v>257</v>
      </c>
      <c r="G43" s="14" t="s">
        <v>86</v>
      </c>
      <c r="H43" s="14" t="s">
        <v>890</v>
      </c>
      <c r="I43" s="25"/>
      <c r="L43" s="21">
        <v>5</v>
      </c>
      <c r="M43" s="21">
        <v>5</v>
      </c>
      <c r="O43" s="1" t="s">
        <v>1103</v>
      </c>
      <c r="P43" s="1">
        <v>5</v>
      </c>
      <c r="S43" s="1" t="s">
        <v>1103</v>
      </c>
      <c r="T43" s="21">
        <v>0</v>
      </c>
      <c r="U43" s="21">
        <v>5</v>
      </c>
      <c r="V43" s="1">
        <f t="shared" si="5"/>
        <v>7</v>
      </c>
    </row>
    <row r="44" spans="1:22" ht="24" x14ac:dyDescent="0.35">
      <c r="A44" s="1" t="s">
        <v>39</v>
      </c>
      <c r="B44" s="10">
        <v>35</v>
      </c>
      <c r="C44" s="14" t="s">
        <v>266</v>
      </c>
      <c r="D44" s="25"/>
      <c r="E44" s="14" t="s">
        <v>1029</v>
      </c>
      <c r="F44" s="14" t="s">
        <v>257</v>
      </c>
      <c r="G44" s="14" t="s">
        <v>86</v>
      </c>
      <c r="H44" s="14" t="s">
        <v>874</v>
      </c>
      <c r="I44" s="25"/>
      <c r="L44" s="21"/>
      <c r="M44" s="21"/>
      <c r="T44" s="21">
        <v>0</v>
      </c>
      <c r="U44" s="21"/>
      <c r="V44" s="1">
        <f t="shared" si="5"/>
        <v>7</v>
      </c>
    </row>
    <row r="45" spans="1:22" ht="24" x14ac:dyDescent="0.35">
      <c r="A45" s="1" t="s">
        <v>39</v>
      </c>
      <c r="B45" s="10">
        <v>36</v>
      </c>
      <c r="C45" s="14" t="s">
        <v>267</v>
      </c>
      <c r="D45" s="25"/>
      <c r="E45" s="14" t="s">
        <v>1030</v>
      </c>
      <c r="F45" s="14" t="s">
        <v>268</v>
      </c>
      <c r="G45" s="14" t="s">
        <v>86</v>
      </c>
      <c r="H45" s="14" t="s">
        <v>979</v>
      </c>
      <c r="I45" s="25" t="s">
        <v>956</v>
      </c>
      <c r="L45" s="21">
        <v>5</v>
      </c>
      <c r="M45" s="21">
        <v>5</v>
      </c>
      <c r="O45" s="1" t="s">
        <v>1103</v>
      </c>
      <c r="P45" s="1">
        <v>5</v>
      </c>
      <c r="S45" s="1" t="s">
        <v>1103</v>
      </c>
      <c r="T45" s="21">
        <v>0</v>
      </c>
      <c r="U45" s="21">
        <v>5</v>
      </c>
      <c r="V45" s="1">
        <f t="shared" si="5"/>
        <v>8</v>
      </c>
    </row>
    <row r="46" spans="1:22" ht="24" x14ac:dyDescent="0.35">
      <c r="A46" s="1" t="s">
        <v>39</v>
      </c>
      <c r="B46" s="10">
        <v>37</v>
      </c>
      <c r="C46" s="14" t="s">
        <v>269</v>
      </c>
      <c r="D46" s="25"/>
      <c r="E46" s="14" t="s">
        <v>1030</v>
      </c>
      <c r="F46" s="14" t="s">
        <v>268</v>
      </c>
      <c r="G46" s="14" t="s">
        <v>86</v>
      </c>
      <c r="H46" s="14" t="s">
        <v>979</v>
      </c>
      <c r="I46" s="25" t="s">
        <v>957</v>
      </c>
      <c r="L46" s="21">
        <v>5</v>
      </c>
      <c r="M46" s="21">
        <v>5</v>
      </c>
      <c r="O46" s="1" t="s">
        <v>1103</v>
      </c>
      <c r="P46" s="1">
        <v>5</v>
      </c>
      <c r="S46" s="1" t="s">
        <v>1103</v>
      </c>
      <c r="T46" s="21">
        <v>0</v>
      </c>
      <c r="U46" s="21">
        <v>5</v>
      </c>
      <c r="V46" s="1">
        <f t="shared" si="5"/>
        <v>8</v>
      </c>
    </row>
    <row r="47" spans="1:22" ht="24" x14ac:dyDescent="0.35">
      <c r="A47" s="1" t="s">
        <v>39</v>
      </c>
      <c r="B47" s="10">
        <v>38</v>
      </c>
      <c r="C47" s="14" t="s">
        <v>270</v>
      </c>
      <c r="D47" s="25"/>
      <c r="E47" s="14" t="s">
        <v>1030</v>
      </c>
      <c r="F47" s="14" t="s">
        <v>268</v>
      </c>
      <c r="G47" s="14" t="s">
        <v>86</v>
      </c>
      <c r="H47" s="14" t="s">
        <v>979</v>
      </c>
      <c r="I47" s="26" t="s">
        <v>958</v>
      </c>
      <c r="L47" s="21">
        <v>5</v>
      </c>
      <c r="M47" s="21">
        <v>5</v>
      </c>
      <c r="O47" s="1" t="s">
        <v>1103</v>
      </c>
      <c r="P47" s="1">
        <v>5</v>
      </c>
      <c r="S47" s="1" t="s">
        <v>1103</v>
      </c>
      <c r="T47" s="21">
        <v>0</v>
      </c>
      <c r="U47" s="21">
        <v>5</v>
      </c>
      <c r="V47" s="1">
        <f t="shared" si="5"/>
        <v>8</v>
      </c>
    </row>
    <row r="48" spans="1:22" ht="24" x14ac:dyDescent="0.35">
      <c r="A48" s="1" t="s">
        <v>39</v>
      </c>
      <c r="B48" s="10">
        <v>39</v>
      </c>
      <c r="C48" s="14" t="s">
        <v>271</v>
      </c>
      <c r="D48" s="25"/>
      <c r="E48" s="14" t="s">
        <v>1030</v>
      </c>
      <c r="F48" s="14" t="s">
        <v>268</v>
      </c>
      <c r="G48" s="14" t="s">
        <v>86</v>
      </c>
      <c r="H48" s="14" t="s">
        <v>891</v>
      </c>
      <c r="I48" s="25"/>
      <c r="L48" s="21">
        <v>5</v>
      </c>
      <c r="M48" s="21">
        <v>5</v>
      </c>
      <c r="O48" s="1" t="s">
        <v>1103</v>
      </c>
      <c r="P48" s="1">
        <v>5</v>
      </c>
      <c r="S48" s="1" t="s">
        <v>1103</v>
      </c>
      <c r="T48" s="21">
        <v>0</v>
      </c>
      <c r="U48" s="21">
        <v>5</v>
      </c>
      <c r="V48" s="1">
        <f t="shared" si="5"/>
        <v>8</v>
      </c>
    </row>
    <row r="49" spans="1:22" s="24" customFormat="1" ht="24" x14ac:dyDescent="0.35">
      <c r="A49" s="24" t="s">
        <v>39</v>
      </c>
      <c r="B49" s="27">
        <v>40</v>
      </c>
      <c r="C49" s="19" t="s">
        <v>272</v>
      </c>
      <c r="D49" s="30"/>
      <c r="E49" s="19" t="s">
        <v>1030</v>
      </c>
      <c r="F49" s="19" t="s">
        <v>268</v>
      </c>
      <c r="G49" s="19" t="s">
        <v>86</v>
      </c>
      <c r="H49" s="19" t="s">
        <v>1097</v>
      </c>
      <c r="I49" s="19"/>
      <c r="L49" s="22">
        <v>19</v>
      </c>
      <c r="M49" s="22">
        <v>19</v>
      </c>
      <c r="O49" s="24" t="s">
        <v>1105</v>
      </c>
      <c r="P49" s="24">
        <v>1</v>
      </c>
      <c r="Q49" s="24">
        <v>35</v>
      </c>
      <c r="R49" s="24">
        <v>10000</v>
      </c>
      <c r="S49" s="24" t="s">
        <v>1105</v>
      </c>
      <c r="T49" s="21">
        <v>0</v>
      </c>
      <c r="U49" s="22">
        <v>19</v>
      </c>
      <c r="V49" s="1">
        <f t="shared" si="5"/>
        <v>8</v>
      </c>
    </row>
    <row r="50" spans="1:22" ht="24" x14ac:dyDescent="0.35">
      <c r="A50" s="1" t="s">
        <v>39</v>
      </c>
      <c r="B50" s="10">
        <v>41</v>
      </c>
      <c r="C50" s="14" t="s">
        <v>273</v>
      </c>
      <c r="D50" s="25"/>
      <c r="E50" s="14" t="s">
        <v>1031</v>
      </c>
      <c r="F50" s="14" t="s">
        <v>268</v>
      </c>
      <c r="G50" s="14" t="s">
        <v>86</v>
      </c>
      <c r="H50" s="14" t="s">
        <v>892</v>
      </c>
      <c r="I50" s="25"/>
      <c r="L50" s="21">
        <v>5</v>
      </c>
      <c r="M50" s="21">
        <v>5</v>
      </c>
      <c r="O50" s="1" t="s">
        <v>1103</v>
      </c>
      <c r="P50" s="1">
        <v>5</v>
      </c>
      <c r="S50" s="1" t="s">
        <v>1103</v>
      </c>
      <c r="T50" s="21">
        <v>0</v>
      </c>
      <c r="U50" s="21">
        <v>5</v>
      </c>
      <c r="V50" s="1">
        <f t="shared" si="5"/>
        <v>9</v>
      </c>
    </row>
    <row r="51" spans="1:22" ht="24" x14ac:dyDescent="0.35">
      <c r="A51" s="1" t="s">
        <v>39</v>
      </c>
      <c r="B51" s="10">
        <v>42</v>
      </c>
      <c r="C51" s="14" t="s">
        <v>274</v>
      </c>
      <c r="D51" s="25"/>
      <c r="E51" s="14" t="s">
        <v>1031</v>
      </c>
      <c r="F51" s="14" t="s">
        <v>268</v>
      </c>
      <c r="G51" s="14" t="s">
        <v>86</v>
      </c>
      <c r="H51" s="14" t="s">
        <v>893</v>
      </c>
      <c r="I51" s="25"/>
      <c r="L51" s="21">
        <v>5</v>
      </c>
      <c r="M51" s="21">
        <v>5</v>
      </c>
      <c r="O51" s="1" t="s">
        <v>1103</v>
      </c>
      <c r="P51" s="1">
        <v>5</v>
      </c>
      <c r="S51" s="1" t="s">
        <v>1103</v>
      </c>
      <c r="T51" s="21">
        <v>0</v>
      </c>
      <c r="U51" s="21">
        <v>5</v>
      </c>
      <c r="V51" s="1">
        <f t="shared" si="5"/>
        <v>9</v>
      </c>
    </row>
    <row r="52" spans="1:22" ht="24" x14ac:dyDescent="0.35">
      <c r="A52" s="1" t="s">
        <v>39</v>
      </c>
      <c r="B52" s="10">
        <v>43</v>
      </c>
      <c r="C52" s="14" t="s">
        <v>275</v>
      </c>
      <c r="D52" s="25"/>
      <c r="E52" s="14" t="s">
        <v>1031</v>
      </c>
      <c r="F52" s="14" t="s">
        <v>268</v>
      </c>
      <c r="G52" s="14" t="s">
        <v>86</v>
      </c>
      <c r="H52" s="14" t="s">
        <v>894</v>
      </c>
      <c r="I52" s="25" t="s">
        <v>959</v>
      </c>
      <c r="L52" s="21">
        <v>5</v>
      </c>
      <c r="M52" s="21">
        <v>5</v>
      </c>
      <c r="O52" s="1" t="s">
        <v>1103</v>
      </c>
      <c r="P52" s="1">
        <v>5</v>
      </c>
      <c r="S52" s="1" t="s">
        <v>1103</v>
      </c>
      <c r="T52" s="21">
        <v>0</v>
      </c>
      <c r="U52" s="21">
        <v>5</v>
      </c>
      <c r="V52" s="1">
        <f t="shared" si="5"/>
        <v>9</v>
      </c>
    </row>
    <row r="53" spans="1:22" ht="24" x14ac:dyDescent="0.35">
      <c r="A53" s="1" t="s">
        <v>39</v>
      </c>
      <c r="B53" s="10">
        <v>44</v>
      </c>
      <c r="C53" s="14" t="s">
        <v>276</v>
      </c>
      <c r="D53" s="25"/>
      <c r="E53" s="14" t="s">
        <v>1031</v>
      </c>
      <c r="F53" s="14" t="s">
        <v>268</v>
      </c>
      <c r="G53" s="14" t="s">
        <v>86</v>
      </c>
      <c r="H53" s="14" t="s">
        <v>894</v>
      </c>
      <c r="I53" s="25" t="s">
        <v>960</v>
      </c>
      <c r="L53" s="21">
        <v>5</v>
      </c>
      <c r="M53" s="21">
        <v>5</v>
      </c>
      <c r="O53" s="1" t="s">
        <v>1103</v>
      </c>
      <c r="P53" s="1">
        <v>5</v>
      </c>
      <c r="S53" s="1" t="s">
        <v>1103</v>
      </c>
      <c r="T53" s="21">
        <v>0</v>
      </c>
      <c r="U53" s="21">
        <v>5</v>
      </c>
      <c r="V53" s="1">
        <f t="shared" si="5"/>
        <v>9</v>
      </c>
    </row>
    <row r="54" spans="1:22" ht="24" x14ac:dyDescent="0.35">
      <c r="A54" s="1" t="s">
        <v>39</v>
      </c>
      <c r="B54" s="10">
        <v>45</v>
      </c>
      <c r="C54" s="14" t="s">
        <v>277</v>
      </c>
      <c r="D54" s="25"/>
      <c r="E54" s="14" t="s">
        <v>1031</v>
      </c>
      <c r="F54" s="14" t="s">
        <v>268</v>
      </c>
      <c r="G54" s="14" t="s">
        <v>86</v>
      </c>
      <c r="H54" s="14" t="s">
        <v>874</v>
      </c>
      <c r="I54" s="25"/>
      <c r="L54" s="21"/>
      <c r="M54" s="21"/>
      <c r="T54" s="21">
        <v>0</v>
      </c>
      <c r="U54" s="21"/>
      <c r="V54" s="1">
        <f t="shared" si="5"/>
        <v>9</v>
      </c>
    </row>
    <row r="55" spans="1:22" ht="24" x14ac:dyDescent="0.35">
      <c r="A55" s="1" t="s">
        <v>39</v>
      </c>
      <c r="B55" s="10">
        <v>46</v>
      </c>
      <c r="C55" s="14" t="s">
        <v>278</v>
      </c>
      <c r="D55" s="25"/>
      <c r="E55" s="14" t="s">
        <v>1032</v>
      </c>
      <c r="F55" s="14" t="s">
        <v>268</v>
      </c>
      <c r="G55" s="14" t="s">
        <v>86</v>
      </c>
      <c r="H55" s="14" t="s">
        <v>895</v>
      </c>
      <c r="I55" s="25"/>
      <c r="L55" s="21">
        <v>5</v>
      </c>
      <c r="M55" s="21">
        <v>5</v>
      </c>
      <c r="O55" s="1" t="s">
        <v>1103</v>
      </c>
      <c r="P55" s="1">
        <v>5</v>
      </c>
      <c r="S55" s="1" t="s">
        <v>1103</v>
      </c>
      <c r="T55" s="21">
        <v>0</v>
      </c>
      <c r="U55" s="21">
        <v>5</v>
      </c>
      <c r="V55" s="1">
        <f t="shared" si="5"/>
        <v>10</v>
      </c>
    </row>
    <row r="56" spans="1:22" ht="24" x14ac:dyDescent="0.35">
      <c r="A56" s="1" t="s">
        <v>39</v>
      </c>
      <c r="B56" s="10">
        <v>47</v>
      </c>
      <c r="C56" s="14" t="s">
        <v>279</v>
      </c>
      <c r="D56" s="25"/>
      <c r="E56" s="14" t="s">
        <v>1032</v>
      </c>
      <c r="F56" s="14" t="s">
        <v>268</v>
      </c>
      <c r="G56" s="14" t="s">
        <v>86</v>
      </c>
      <c r="H56" s="14" t="s">
        <v>895</v>
      </c>
      <c r="I56" s="25"/>
      <c r="L56" s="21">
        <v>5</v>
      </c>
      <c r="M56" s="21">
        <v>5</v>
      </c>
      <c r="O56" s="1" t="s">
        <v>1103</v>
      </c>
      <c r="P56" s="1">
        <v>5</v>
      </c>
      <c r="S56" s="1" t="s">
        <v>1103</v>
      </c>
      <c r="T56" s="21">
        <v>0</v>
      </c>
      <c r="U56" s="21">
        <v>5</v>
      </c>
      <c r="V56" s="1">
        <f t="shared" si="5"/>
        <v>10</v>
      </c>
    </row>
    <row r="57" spans="1:22" ht="24" x14ac:dyDescent="0.35">
      <c r="A57" s="1" t="s">
        <v>39</v>
      </c>
      <c r="B57" s="10">
        <v>48</v>
      </c>
      <c r="C57" s="14" t="s">
        <v>280</v>
      </c>
      <c r="D57" s="25"/>
      <c r="E57" s="14" t="s">
        <v>1032</v>
      </c>
      <c r="F57" s="14" t="s">
        <v>268</v>
      </c>
      <c r="G57" s="14" t="s">
        <v>86</v>
      </c>
      <c r="H57" s="14" t="s">
        <v>895</v>
      </c>
      <c r="I57" s="25"/>
      <c r="L57" s="21">
        <v>5</v>
      </c>
      <c r="M57" s="21">
        <v>5</v>
      </c>
      <c r="O57" s="1" t="s">
        <v>1103</v>
      </c>
      <c r="P57" s="1">
        <v>5</v>
      </c>
      <c r="S57" s="1" t="s">
        <v>1103</v>
      </c>
      <c r="T57" s="21">
        <v>0</v>
      </c>
      <c r="U57" s="21">
        <v>5</v>
      </c>
      <c r="V57" s="1">
        <f t="shared" si="5"/>
        <v>10</v>
      </c>
    </row>
    <row r="58" spans="1:22" ht="24" x14ac:dyDescent="0.35">
      <c r="A58" s="1" t="s">
        <v>39</v>
      </c>
      <c r="B58" s="10">
        <v>49</v>
      </c>
      <c r="C58" s="14" t="s">
        <v>281</v>
      </c>
      <c r="D58" s="25"/>
      <c r="E58" s="14" t="s">
        <v>1032</v>
      </c>
      <c r="F58" s="14" t="s">
        <v>268</v>
      </c>
      <c r="G58" s="14" t="s">
        <v>86</v>
      </c>
      <c r="H58" s="14" t="s">
        <v>896</v>
      </c>
      <c r="I58" s="25"/>
      <c r="L58" s="21">
        <v>5</v>
      </c>
      <c r="M58" s="21">
        <v>5</v>
      </c>
      <c r="O58" s="1" t="s">
        <v>1103</v>
      </c>
      <c r="P58" s="1">
        <v>5</v>
      </c>
      <c r="S58" s="1" t="s">
        <v>1103</v>
      </c>
      <c r="T58" s="21">
        <v>0</v>
      </c>
      <c r="U58" s="21">
        <v>5</v>
      </c>
      <c r="V58" s="1">
        <f t="shared" si="5"/>
        <v>10</v>
      </c>
    </row>
    <row r="59" spans="1:22" s="24" customFormat="1" ht="24" x14ac:dyDescent="0.35">
      <c r="A59" s="24" t="s">
        <v>39</v>
      </c>
      <c r="B59" s="27">
        <v>50</v>
      </c>
      <c r="C59" s="19" t="s">
        <v>282</v>
      </c>
      <c r="D59" s="30"/>
      <c r="E59" s="19" t="s">
        <v>1032</v>
      </c>
      <c r="F59" s="19" t="s">
        <v>268</v>
      </c>
      <c r="G59" s="19" t="s">
        <v>86</v>
      </c>
      <c r="H59" s="19" t="s">
        <v>1098</v>
      </c>
      <c r="I59" s="19"/>
      <c r="L59" s="22">
        <v>19</v>
      </c>
      <c r="M59" s="22">
        <v>19</v>
      </c>
      <c r="N59" s="24">
        <v>1002</v>
      </c>
      <c r="O59" s="24" t="s">
        <v>1105</v>
      </c>
      <c r="P59" s="24">
        <v>1</v>
      </c>
      <c r="Q59" s="24">
        <v>20</v>
      </c>
      <c r="R59" s="24">
        <v>10000</v>
      </c>
      <c r="S59" s="24" t="s">
        <v>1105</v>
      </c>
      <c r="T59" s="21">
        <v>0</v>
      </c>
      <c r="U59" s="22">
        <v>19</v>
      </c>
      <c r="V59" s="1">
        <f t="shared" si="5"/>
        <v>10</v>
      </c>
    </row>
  </sheetData>
  <phoneticPr fontId="35" type="noConversion"/>
  <conditionalFormatting sqref="B1:B3 B5:B1048576">
    <cfRule type="duplicateValues" dxfId="13" priority="2"/>
  </conditionalFormatting>
  <pageMargins left="0.69930555555555596" right="0.69930555555555596" top="0.75" bottom="0.75" header="0.3" footer="0.3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60"/>
  <sheetViews>
    <sheetView workbookViewId="0">
      <pane xSplit="3" ySplit="9" topLeftCell="D10" activePane="bottomRight" state="frozen"/>
      <selection pane="topRight"/>
      <selection pane="bottomLeft"/>
      <selection pane="bottomRight" activeCell="C10" sqref="C10"/>
    </sheetView>
  </sheetViews>
  <sheetFormatPr defaultColWidth="9" defaultRowHeight="13.5" x14ac:dyDescent="0.15"/>
  <cols>
    <col min="2" max="2" width="4.5" customWidth="1"/>
    <col min="3" max="3" width="7.875" customWidth="1"/>
    <col min="4" max="4" width="6.875" customWidth="1"/>
    <col min="5" max="5" width="25.75" customWidth="1"/>
    <col min="6" max="6" width="13.125" customWidth="1"/>
    <col min="7" max="7" width="15.125" customWidth="1"/>
    <col min="8" max="8" width="56.875" customWidth="1"/>
    <col min="9" max="9" width="19.25" customWidth="1"/>
    <col min="10" max="10" width="13.125" customWidth="1"/>
    <col min="11" max="11" width="14.5" style="1" customWidth="1"/>
    <col min="15" max="15" width="79.75" customWidth="1"/>
    <col min="16" max="16" width="15.375" customWidth="1"/>
    <col min="17" max="17" width="16.375" customWidth="1"/>
    <col min="19" max="19" width="64.625" customWidth="1"/>
    <col min="20" max="20" width="6.125" customWidth="1"/>
  </cols>
  <sheetData>
    <row r="1" spans="1:22" x14ac:dyDescent="0.15">
      <c r="A1" s="2" t="s">
        <v>38</v>
      </c>
      <c r="B1" s="3" t="s">
        <v>39</v>
      </c>
      <c r="C1" s="3" t="s">
        <v>39</v>
      </c>
      <c r="D1" s="3" t="s">
        <v>39</v>
      </c>
      <c r="E1" s="3" t="s">
        <v>39</v>
      </c>
      <c r="F1" s="3" t="s">
        <v>39</v>
      </c>
      <c r="G1" s="3" t="s">
        <v>39</v>
      </c>
      <c r="H1" s="3" t="s">
        <v>39</v>
      </c>
      <c r="I1" s="3" t="s">
        <v>39</v>
      </c>
      <c r="J1" s="3" t="s">
        <v>39</v>
      </c>
      <c r="K1" s="3" t="s">
        <v>39</v>
      </c>
      <c r="L1" s="3" t="s">
        <v>39</v>
      </c>
      <c r="M1" s="3" t="s">
        <v>39</v>
      </c>
      <c r="N1" s="3" t="s">
        <v>39</v>
      </c>
      <c r="O1" s="3" t="s">
        <v>39</v>
      </c>
      <c r="P1" s="3" t="s">
        <v>39</v>
      </c>
      <c r="Q1" s="3" t="s">
        <v>39</v>
      </c>
      <c r="R1" s="3" t="s">
        <v>39</v>
      </c>
      <c r="S1" s="3" t="s">
        <v>39</v>
      </c>
      <c r="T1" s="3" t="s">
        <v>39</v>
      </c>
      <c r="U1" s="3" t="s">
        <v>39</v>
      </c>
      <c r="V1" s="3" t="s">
        <v>39</v>
      </c>
    </row>
    <row r="2" spans="1:22" x14ac:dyDescent="0.15">
      <c r="A2" s="2" t="s">
        <v>40</v>
      </c>
      <c r="B2" s="3" t="s">
        <v>39</v>
      </c>
      <c r="C2" s="3" t="s">
        <v>39</v>
      </c>
      <c r="D2" s="3" t="s">
        <v>39</v>
      </c>
      <c r="E2" s="3" t="s">
        <v>39</v>
      </c>
      <c r="F2" s="3" t="s">
        <v>39</v>
      </c>
      <c r="G2" s="3" t="s">
        <v>39</v>
      </c>
      <c r="H2" s="3" t="s">
        <v>39</v>
      </c>
      <c r="I2" s="3" t="s">
        <v>39</v>
      </c>
      <c r="J2" s="3" t="s">
        <v>39</v>
      </c>
      <c r="K2" s="3" t="s">
        <v>39</v>
      </c>
      <c r="L2" s="3" t="s">
        <v>39</v>
      </c>
      <c r="M2" s="3" t="s">
        <v>39</v>
      </c>
      <c r="N2" s="3" t="s">
        <v>39</v>
      </c>
      <c r="O2" s="3" t="s">
        <v>39</v>
      </c>
      <c r="P2" s="3" t="s">
        <v>39</v>
      </c>
      <c r="Q2" s="3" t="s">
        <v>39</v>
      </c>
      <c r="R2" s="3" t="s">
        <v>39</v>
      </c>
      <c r="S2" s="3" t="s">
        <v>39</v>
      </c>
      <c r="T2" s="3" t="s">
        <v>39</v>
      </c>
      <c r="U2" s="3" t="s">
        <v>39</v>
      </c>
      <c r="V2" s="3" t="s">
        <v>39</v>
      </c>
    </row>
    <row r="3" spans="1:22" ht="14.25" x14ac:dyDescent="0.15">
      <c r="A3" s="4" t="s">
        <v>39</v>
      </c>
      <c r="B3" s="4" t="s">
        <v>41</v>
      </c>
      <c r="C3" s="5" t="s">
        <v>42</v>
      </c>
      <c r="D3" s="5" t="s">
        <v>42</v>
      </c>
      <c r="E3" s="5" t="s">
        <v>42</v>
      </c>
      <c r="F3" s="5" t="s">
        <v>42</v>
      </c>
      <c r="G3" s="5" t="s">
        <v>42</v>
      </c>
      <c r="H3" s="5" t="s">
        <v>42</v>
      </c>
      <c r="I3" s="5" t="s">
        <v>42</v>
      </c>
      <c r="J3" s="5" t="s">
        <v>41</v>
      </c>
      <c r="K3" s="5" t="s">
        <v>41</v>
      </c>
      <c r="L3" s="5" t="s">
        <v>41</v>
      </c>
      <c r="M3" s="5" t="s">
        <v>41</v>
      </c>
      <c r="N3" s="5" t="s">
        <v>41</v>
      </c>
      <c r="O3" s="5" t="s">
        <v>42</v>
      </c>
      <c r="P3" s="5" t="s">
        <v>41</v>
      </c>
      <c r="Q3" s="5" t="s">
        <v>41</v>
      </c>
      <c r="R3" s="5" t="s">
        <v>41</v>
      </c>
      <c r="S3" s="5" t="s">
        <v>42</v>
      </c>
      <c r="T3" s="5" t="s">
        <v>41</v>
      </c>
      <c r="U3" s="5" t="s">
        <v>981</v>
      </c>
      <c r="V3" s="5" t="s">
        <v>989</v>
      </c>
    </row>
    <row r="4" spans="1:22" ht="14.25" x14ac:dyDescent="0.15">
      <c r="A4" s="4"/>
      <c r="B4" s="4" t="s">
        <v>43</v>
      </c>
      <c r="C4" s="4" t="s">
        <v>188</v>
      </c>
      <c r="D4" s="4" t="s">
        <v>44</v>
      </c>
      <c r="E4" s="4" t="s">
        <v>189</v>
      </c>
      <c r="F4" s="4" t="s">
        <v>190</v>
      </c>
      <c r="G4" s="4" t="s">
        <v>191</v>
      </c>
      <c r="H4" s="4" t="s">
        <v>192</v>
      </c>
      <c r="I4" s="4" t="s">
        <v>193</v>
      </c>
      <c r="J4" s="5" t="s">
        <v>194</v>
      </c>
      <c r="K4" s="5" t="s">
        <v>195</v>
      </c>
      <c r="L4" s="5" t="s">
        <v>196</v>
      </c>
      <c r="M4" s="5" t="s">
        <v>197</v>
      </c>
      <c r="N4" s="5" t="s">
        <v>198</v>
      </c>
      <c r="O4" s="5" t="s">
        <v>199</v>
      </c>
      <c r="P4" s="5" t="s">
        <v>200</v>
      </c>
      <c r="Q4" s="5" t="s">
        <v>201</v>
      </c>
      <c r="R4" s="5" t="s">
        <v>202</v>
      </c>
      <c r="S4" s="5" t="s">
        <v>203</v>
      </c>
      <c r="T4" s="5" t="s">
        <v>204</v>
      </c>
      <c r="U4" s="5" t="s">
        <v>982</v>
      </c>
      <c r="V4" s="5" t="s">
        <v>990</v>
      </c>
    </row>
    <row r="5" spans="1:22" ht="14.25" x14ac:dyDescent="0.15">
      <c r="A5" s="4"/>
      <c r="B5" s="4" t="str">
        <f>IF(B3="","",IF(B3="INT","i",IF(B3="FLOAT","f",IF(B3="STRING","s"))))</f>
        <v>i</v>
      </c>
      <c r="C5" s="5" t="s">
        <v>68</v>
      </c>
      <c r="D5" s="5" t="s">
        <v>68</v>
      </c>
      <c r="E5" s="5" t="s">
        <v>68</v>
      </c>
      <c r="F5" s="5" t="s">
        <v>68</v>
      </c>
      <c r="G5" s="5" t="s">
        <v>68</v>
      </c>
      <c r="H5" s="5" t="s">
        <v>68</v>
      </c>
      <c r="I5" s="5" t="s">
        <v>68</v>
      </c>
      <c r="J5" s="5" t="s">
        <v>67</v>
      </c>
      <c r="K5" s="5" t="s">
        <v>67</v>
      </c>
      <c r="L5" s="5" t="s">
        <v>67</v>
      </c>
      <c r="M5" s="5" t="s">
        <v>67</v>
      </c>
      <c r="N5" s="5" t="s">
        <v>67</v>
      </c>
      <c r="O5" s="5" t="s">
        <v>68</v>
      </c>
      <c r="P5" s="5" t="s">
        <v>67</v>
      </c>
      <c r="Q5" s="5" t="s">
        <v>67</v>
      </c>
      <c r="R5" s="5" t="s">
        <v>67</v>
      </c>
      <c r="S5" s="5" t="s">
        <v>68</v>
      </c>
      <c r="T5" s="5" t="s">
        <v>67</v>
      </c>
      <c r="U5" s="5" t="s">
        <v>67</v>
      </c>
      <c r="V5" s="5" t="s">
        <v>67</v>
      </c>
    </row>
    <row r="6" spans="1:22" ht="14.25" x14ac:dyDescent="0.15">
      <c r="A6" s="4" t="s">
        <v>39</v>
      </c>
      <c r="B6" s="4" t="str">
        <f t="shared" ref="B6:D6" si="0">B5&amp;B4</f>
        <v>iID</v>
      </c>
      <c r="C6" s="5" t="str">
        <f t="shared" si="0"/>
        <v>sRoomID</v>
      </c>
      <c r="D6" s="5" t="str">
        <f t="shared" si="0"/>
        <v>sNotes</v>
      </c>
      <c r="E6" s="5" t="s">
        <v>205</v>
      </c>
      <c r="F6" s="5" t="str">
        <f t="shared" ref="F6:Q6" si="1">F5&amp;F4</f>
        <v>sMapAttributes</v>
      </c>
      <c r="G6" s="5" t="str">
        <f t="shared" si="1"/>
        <v>sStandardDefence</v>
      </c>
      <c r="H6" s="5" t="str">
        <f t="shared" si="1"/>
        <v>sRoomIDs</v>
      </c>
      <c r="I6" s="5" t="str">
        <f t="shared" si="1"/>
        <v>sRoomIDs1</v>
      </c>
      <c r="J6" s="5" t="str">
        <f t="shared" si="1"/>
        <v>iCheatValue</v>
      </c>
      <c r="K6" s="5" t="str">
        <f t="shared" si="1"/>
        <v>iBattleValue</v>
      </c>
      <c r="L6" s="5" t="str">
        <f t="shared" si="1"/>
        <v>iGoldAdd</v>
      </c>
      <c r="M6" s="5" t="str">
        <f t="shared" si="1"/>
        <v>iExpAdd</v>
      </c>
      <c r="N6" s="5" t="str">
        <f t="shared" si="1"/>
        <v>iAwardHero</v>
      </c>
      <c r="O6" s="5" t="str">
        <f t="shared" si="1"/>
        <v>sOutPut</v>
      </c>
      <c r="P6" s="5" t="str">
        <f t="shared" si="1"/>
        <v>iDropCount</v>
      </c>
      <c r="Q6" s="5" t="str">
        <f t="shared" si="1"/>
        <v>iCatchTime</v>
      </c>
      <c r="R6" s="5" t="str">
        <f t="shared" ref="R6:S6" si="2">R5&amp;R4</f>
        <v>iCatchProb</v>
      </c>
      <c r="S6" s="5" t="str">
        <f t="shared" si="2"/>
        <v>sFirstOutPut</v>
      </c>
      <c r="T6" s="5" t="str">
        <f t="shared" ref="T6:V6" si="3">T5&amp;T4</f>
        <v>iFirstExpAdd</v>
      </c>
      <c r="U6" s="5" t="str">
        <f t="shared" si="3"/>
        <v>iFirstGoldAdd</v>
      </c>
      <c r="V6" s="5" t="str">
        <f t="shared" si="3"/>
        <v>iMonsLv</v>
      </c>
    </row>
    <row r="7" spans="1:22" ht="14.25" x14ac:dyDescent="0.15">
      <c r="A7" s="4"/>
      <c r="B7" s="4" t="s">
        <v>206</v>
      </c>
      <c r="C7" s="6" t="s">
        <v>207</v>
      </c>
      <c r="D7" s="6" t="s">
        <v>208</v>
      </c>
      <c r="E7" s="6" t="s">
        <v>209</v>
      </c>
      <c r="F7" s="6" t="s">
        <v>210</v>
      </c>
      <c r="G7" s="6"/>
      <c r="H7" s="6" t="s">
        <v>211</v>
      </c>
      <c r="I7" s="6" t="s">
        <v>212</v>
      </c>
      <c r="J7" s="6" t="s">
        <v>213</v>
      </c>
      <c r="K7" s="6" t="s">
        <v>214</v>
      </c>
      <c r="L7" s="6" t="s">
        <v>215</v>
      </c>
      <c r="M7" s="6" t="s">
        <v>216</v>
      </c>
      <c r="N7" s="6" t="s">
        <v>217</v>
      </c>
      <c r="O7" s="6" t="s">
        <v>218</v>
      </c>
      <c r="P7" s="6" t="s">
        <v>219</v>
      </c>
      <c r="Q7" s="6" t="s">
        <v>220</v>
      </c>
      <c r="R7" s="6" t="s">
        <v>221</v>
      </c>
      <c r="S7" s="6" t="s">
        <v>222</v>
      </c>
      <c r="T7" s="6" t="s">
        <v>223</v>
      </c>
      <c r="U7" s="6" t="s">
        <v>984</v>
      </c>
      <c r="V7" s="6" t="s">
        <v>991</v>
      </c>
    </row>
    <row r="8" spans="1:22" ht="14.25" x14ac:dyDescent="0.15">
      <c r="A8" s="4" t="s">
        <v>78</v>
      </c>
      <c r="B8" s="4">
        <v>0</v>
      </c>
      <c r="C8" s="6"/>
      <c r="D8" s="6"/>
      <c r="E8" s="6"/>
      <c r="F8" s="6"/>
      <c r="G8" s="6"/>
      <c r="H8" s="6"/>
      <c r="I8" s="6"/>
      <c r="J8" s="6">
        <v>10000</v>
      </c>
      <c r="K8" s="6">
        <v>10000</v>
      </c>
      <c r="L8" s="6">
        <v>0</v>
      </c>
      <c r="M8" s="6">
        <v>0</v>
      </c>
      <c r="N8" s="6"/>
      <c r="O8" s="6"/>
      <c r="P8" s="6">
        <v>0</v>
      </c>
      <c r="Q8" s="6">
        <v>0</v>
      </c>
      <c r="R8" s="6">
        <v>0</v>
      </c>
      <c r="S8" s="6"/>
      <c r="T8" s="6">
        <v>0</v>
      </c>
      <c r="U8" s="6">
        <v>0</v>
      </c>
      <c r="V8" s="6">
        <v>1</v>
      </c>
    </row>
    <row r="9" spans="1:22" ht="14.25" x14ac:dyDescent="0.15">
      <c r="A9" s="7"/>
      <c r="B9" s="7"/>
      <c r="C9" s="8"/>
      <c r="D9" s="8"/>
      <c r="E9" s="9"/>
      <c r="F9" s="8"/>
      <c r="G9" s="8"/>
      <c r="H9" s="8"/>
      <c r="I9" s="8"/>
      <c r="J9" s="8" t="s">
        <v>224</v>
      </c>
      <c r="K9" s="8" t="s">
        <v>224</v>
      </c>
      <c r="L9" s="8"/>
      <c r="M9" s="8"/>
      <c r="N9" s="8"/>
      <c r="O9" s="8" t="s">
        <v>225</v>
      </c>
      <c r="P9" s="8"/>
      <c r="Q9" s="8" t="s">
        <v>284</v>
      </c>
      <c r="R9" s="8" t="s">
        <v>227</v>
      </c>
      <c r="S9" s="8" t="s">
        <v>225</v>
      </c>
      <c r="T9" s="8"/>
    </row>
    <row r="10" spans="1:22" ht="24" x14ac:dyDescent="0.35">
      <c r="A10" s="1" t="s">
        <v>39</v>
      </c>
      <c r="B10" s="11" t="s">
        <v>85</v>
      </c>
      <c r="C10" s="11" t="s">
        <v>1255</v>
      </c>
      <c r="D10" s="12"/>
      <c r="E10" s="14" t="s">
        <v>1033</v>
      </c>
      <c r="F10" s="11" t="s">
        <v>285</v>
      </c>
      <c r="G10" s="11" t="s">
        <v>871</v>
      </c>
      <c r="H10" s="11" t="s">
        <v>897</v>
      </c>
      <c r="I10" s="14" t="s">
        <v>961</v>
      </c>
      <c r="L10" s="21">
        <v>5</v>
      </c>
      <c r="M10" s="21">
        <v>5</v>
      </c>
      <c r="O10" s="1" t="s">
        <v>1107</v>
      </c>
      <c r="P10" s="1">
        <v>5</v>
      </c>
      <c r="Q10" s="1"/>
      <c r="R10" s="1"/>
      <c r="S10" s="1" t="s">
        <v>1107</v>
      </c>
      <c r="T10" s="21">
        <v>5</v>
      </c>
      <c r="U10" s="21">
        <v>5</v>
      </c>
      <c r="V10" s="1">
        <v>11</v>
      </c>
    </row>
    <row r="11" spans="1:22" ht="24" x14ac:dyDescent="0.35">
      <c r="A11" s="1" t="s">
        <v>39</v>
      </c>
      <c r="B11" s="11" t="s">
        <v>96</v>
      </c>
      <c r="C11" s="11" t="s">
        <v>286</v>
      </c>
      <c r="D11" s="12"/>
      <c r="E11" s="14" t="s">
        <v>1033</v>
      </c>
      <c r="F11" s="11" t="s">
        <v>285</v>
      </c>
      <c r="G11" s="11" t="s">
        <v>86</v>
      </c>
      <c r="H11" s="11" t="s">
        <v>897</v>
      </c>
      <c r="I11" s="14" t="s">
        <v>962</v>
      </c>
      <c r="L11" s="21">
        <v>5</v>
      </c>
      <c r="M11" s="21">
        <v>5</v>
      </c>
      <c r="O11" s="1" t="s">
        <v>1107</v>
      </c>
      <c r="P11" s="1">
        <v>5</v>
      </c>
      <c r="Q11" s="1"/>
      <c r="R11" s="1"/>
      <c r="S11" s="1" t="s">
        <v>1107</v>
      </c>
      <c r="T11" s="21">
        <v>5</v>
      </c>
      <c r="U11" s="21">
        <v>5</v>
      </c>
      <c r="V11" s="1">
        <v>11</v>
      </c>
    </row>
    <row r="12" spans="1:22" ht="24" x14ac:dyDescent="0.35">
      <c r="A12" s="1" t="s">
        <v>39</v>
      </c>
      <c r="B12" s="11" t="s">
        <v>108</v>
      </c>
      <c r="C12" s="11" t="s">
        <v>287</v>
      </c>
      <c r="D12" s="12"/>
      <c r="E12" s="14" t="s">
        <v>1033</v>
      </c>
      <c r="F12" s="11" t="s">
        <v>285</v>
      </c>
      <c r="G12" s="11" t="s">
        <v>86</v>
      </c>
      <c r="H12" s="11" t="s">
        <v>898</v>
      </c>
      <c r="I12" s="14"/>
      <c r="L12" s="21">
        <v>5</v>
      </c>
      <c r="M12" s="21">
        <v>5</v>
      </c>
      <c r="O12" s="1" t="s">
        <v>1107</v>
      </c>
      <c r="P12" s="1">
        <v>5</v>
      </c>
      <c r="Q12" s="1"/>
      <c r="R12" s="1"/>
      <c r="S12" s="1" t="s">
        <v>1107</v>
      </c>
      <c r="T12" s="21">
        <v>5</v>
      </c>
      <c r="U12" s="21">
        <v>5</v>
      </c>
      <c r="V12" s="1">
        <v>11</v>
      </c>
    </row>
    <row r="13" spans="1:22" ht="24" x14ac:dyDescent="0.35">
      <c r="A13" s="1" t="s">
        <v>39</v>
      </c>
      <c r="B13" s="11" t="s">
        <v>120</v>
      </c>
      <c r="C13" s="11" t="s">
        <v>288</v>
      </c>
      <c r="D13" s="12"/>
      <c r="E13" s="14" t="s">
        <v>1033</v>
      </c>
      <c r="F13" s="11" t="s">
        <v>285</v>
      </c>
      <c r="G13" s="11" t="s">
        <v>86</v>
      </c>
      <c r="H13" s="11" t="s">
        <v>898</v>
      </c>
      <c r="I13" s="14"/>
      <c r="L13" s="21">
        <v>5</v>
      </c>
      <c r="M13" s="21">
        <v>5</v>
      </c>
      <c r="O13" s="1" t="s">
        <v>1107</v>
      </c>
      <c r="P13" s="1">
        <v>5</v>
      </c>
      <c r="Q13" s="1"/>
      <c r="R13" s="1"/>
      <c r="S13" s="1" t="s">
        <v>1107</v>
      </c>
      <c r="T13" s="21">
        <v>5</v>
      </c>
      <c r="U13" s="21">
        <v>5</v>
      </c>
      <c r="V13" s="1">
        <v>11</v>
      </c>
    </row>
    <row r="14" spans="1:22" ht="36" x14ac:dyDescent="0.35">
      <c r="A14" s="1" t="s">
        <v>39</v>
      </c>
      <c r="B14" s="11" t="s">
        <v>131</v>
      </c>
      <c r="C14" s="11" t="s">
        <v>289</v>
      </c>
      <c r="D14" s="12"/>
      <c r="E14" s="14" t="s">
        <v>1033</v>
      </c>
      <c r="F14" s="11" t="s">
        <v>285</v>
      </c>
      <c r="G14" s="11" t="s">
        <v>86</v>
      </c>
      <c r="H14" s="11" t="s">
        <v>899</v>
      </c>
      <c r="I14" s="25"/>
      <c r="L14" s="21"/>
      <c r="M14" s="21"/>
      <c r="O14" s="1"/>
      <c r="P14" s="1"/>
      <c r="Q14" s="1"/>
      <c r="R14" s="1"/>
      <c r="S14" s="1"/>
      <c r="T14" s="21"/>
      <c r="U14" s="21"/>
      <c r="V14" s="1">
        <v>11</v>
      </c>
    </row>
    <row r="15" spans="1:22" ht="36" x14ac:dyDescent="0.35">
      <c r="A15" s="1" t="s">
        <v>39</v>
      </c>
      <c r="B15" s="11" t="s">
        <v>141</v>
      </c>
      <c r="C15" s="11" t="s">
        <v>290</v>
      </c>
      <c r="D15" s="12"/>
      <c r="E15" s="14" t="s">
        <v>1034</v>
      </c>
      <c r="F15" s="11" t="s">
        <v>285</v>
      </c>
      <c r="G15" s="11" t="s">
        <v>86</v>
      </c>
      <c r="H15" s="11" t="s">
        <v>900</v>
      </c>
      <c r="I15" s="25"/>
      <c r="L15" s="21">
        <v>5</v>
      </c>
      <c r="M15" s="21">
        <v>5</v>
      </c>
      <c r="O15" s="1" t="s">
        <v>1107</v>
      </c>
      <c r="P15" s="1">
        <v>5</v>
      </c>
      <c r="Q15" s="1"/>
      <c r="R15" s="1"/>
      <c r="S15" s="1" t="s">
        <v>1107</v>
      </c>
      <c r="T15" s="21">
        <v>5</v>
      </c>
      <c r="U15" s="21">
        <v>5</v>
      </c>
      <c r="V15" s="1">
        <f>V10+1</f>
        <v>12</v>
      </c>
    </row>
    <row r="16" spans="1:22" ht="36" x14ac:dyDescent="0.35">
      <c r="A16" s="1" t="s">
        <v>39</v>
      </c>
      <c r="B16" s="11" t="s">
        <v>151</v>
      </c>
      <c r="C16" s="11" t="s">
        <v>291</v>
      </c>
      <c r="D16" s="12"/>
      <c r="E16" s="14" t="s">
        <v>1034</v>
      </c>
      <c r="F16" s="11" t="s">
        <v>285</v>
      </c>
      <c r="G16" s="11" t="s">
        <v>86</v>
      </c>
      <c r="H16" s="11" t="s">
        <v>900</v>
      </c>
      <c r="I16" s="14"/>
      <c r="L16" s="21">
        <v>5</v>
      </c>
      <c r="M16" s="21">
        <v>5</v>
      </c>
      <c r="O16" s="1" t="s">
        <v>1107</v>
      </c>
      <c r="P16" s="1">
        <v>5</v>
      </c>
      <c r="Q16" s="1"/>
      <c r="R16" s="1"/>
      <c r="S16" s="1" t="s">
        <v>1107</v>
      </c>
      <c r="T16" s="21">
        <v>5</v>
      </c>
      <c r="U16" s="21">
        <v>5</v>
      </c>
      <c r="V16" s="1">
        <f t="shared" ref="V16:V59" si="4">V11+1</f>
        <v>12</v>
      </c>
    </row>
    <row r="17" spans="1:22" ht="36" x14ac:dyDescent="0.35">
      <c r="A17" s="1" t="s">
        <v>39</v>
      </c>
      <c r="B17" s="11" t="s">
        <v>161</v>
      </c>
      <c r="C17" s="11" t="s">
        <v>292</v>
      </c>
      <c r="D17" s="12"/>
      <c r="E17" s="14" t="s">
        <v>1034</v>
      </c>
      <c r="F17" s="11" t="s">
        <v>285</v>
      </c>
      <c r="G17" s="11" t="s">
        <v>86</v>
      </c>
      <c r="H17" s="11" t="s">
        <v>900</v>
      </c>
      <c r="I17" s="25"/>
      <c r="L17" s="21">
        <v>5</v>
      </c>
      <c r="M17" s="21">
        <v>5</v>
      </c>
      <c r="O17" s="1" t="s">
        <v>1107</v>
      </c>
      <c r="P17" s="1">
        <v>5</v>
      </c>
      <c r="Q17" s="1"/>
      <c r="R17" s="1"/>
      <c r="S17" s="1" t="s">
        <v>1107</v>
      </c>
      <c r="T17" s="21">
        <v>5</v>
      </c>
      <c r="U17" s="21">
        <v>5</v>
      </c>
      <c r="V17" s="1">
        <f t="shared" si="4"/>
        <v>12</v>
      </c>
    </row>
    <row r="18" spans="1:22" ht="24" x14ac:dyDescent="0.35">
      <c r="A18" s="1" t="s">
        <v>39</v>
      </c>
      <c r="B18" s="11" t="s">
        <v>171</v>
      </c>
      <c r="C18" s="11" t="s">
        <v>293</v>
      </c>
      <c r="D18" s="12"/>
      <c r="E18" s="14" t="s">
        <v>1034</v>
      </c>
      <c r="F18" s="11" t="s">
        <v>285</v>
      </c>
      <c r="G18" s="11" t="s">
        <v>86</v>
      </c>
      <c r="H18" s="11" t="s">
        <v>901</v>
      </c>
      <c r="I18" s="14"/>
      <c r="L18" s="21">
        <v>5</v>
      </c>
      <c r="M18" s="21">
        <v>5</v>
      </c>
      <c r="O18" s="1" t="s">
        <v>1107</v>
      </c>
      <c r="P18" s="1">
        <v>5</v>
      </c>
      <c r="Q18" s="1"/>
      <c r="R18" s="1"/>
      <c r="S18" s="1" t="s">
        <v>1107</v>
      </c>
      <c r="T18" s="21">
        <v>5</v>
      </c>
      <c r="U18" s="21">
        <v>5</v>
      </c>
      <c r="V18" s="1">
        <f t="shared" si="4"/>
        <v>12</v>
      </c>
    </row>
    <row r="19" spans="1:22" ht="24" x14ac:dyDescent="0.35">
      <c r="A19" s="1" t="s">
        <v>39</v>
      </c>
      <c r="B19" s="11" t="s">
        <v>162</v>
      </c>
      <c r="C19" s="11" t="s">
        <v>294</v>
      </c>
      <c r="D19" s="12"/>
      <c r="E19" s="14" t="s">
        <v>1034</v>
      </c>
      <c r="F19" s="11" t="s">
        <v>285</v>
      </c>
      <c r="G19" s="11" t="s">
        <v>86</v>
      </c>
      <c r="H19" s="19" t="s">
        <v>1100</v>
      </c>
      <c r="I19" s="19"/>
      <c r="L19" s="21">
        <v>21</v>
      </c>
      <c r="M19" s="21">
        <v>21</v>
      </c>
      <c r="O19" s="24" t="s">
        <v>1108</v>
      </c>
      <c r="P19" s="24">
        <v>1</v>
      </c>
      <c r="Q19" s="24">
        <v>35</v>
      </c>
      <c r="R19" s="24">
        <v>8000</v>
      </c>
      <c r="S19" s="24" t="s">
        <v>1108</v>
      </c>
      <c r="T19" s="21">
        <v>21</v>
      </c>
      <c r="U19" s="21">
        <v>21</v>
      </c>
      <c r="V19" s="1">
        <f t="shared" si="4"/>
        <v>12</v>
      </c>
    </row>
    <row r="20" spans="1:22" ht="24" x14ac:dyDescent="0.35">
      <c r="A20" s="1" t="s">
        <v>39</v>
      </c>
      <c r="B20" s="11" t="s">
        <v>296</v>
      </c>
      <c r="C20" s="11" t="s">
        <v>297</v>
      </c>
      <c r="D20" s="12"/>
      <c r="E20" s="14" t="s">
        <v>1035</v>
      </c>
      <c r="F20" s="11" t="s">
        <v>285</v>
      </c>
      <c r="G20" s="11" t="s">
        <v>86</v>
      </c>
      <c r="H20" s="11" t="s">
        <v>902</v>
      </c>
      <c r="I20" s="14"/>
      <c r="L20" s="21">
        <v>5</v>
      </c>
      <c r="M20" s="21">
        <v>5</v>
      </c>
      <c r="O20" s="1" t="s">
        <v>1107</v>
      </c>
      <c r="P20" s="1">
        <v>5</v>
      </c>
      <c r="Q20" s="1"/>
      <c r="R20" s="1"/>
      <c r="S20" s="1" t="s">
        <v>1107</v>
      </c>
      <c r="T20" s="21">
        <v>5</v>
      </c>
      <c r="U20" s="21">
        <v>5</v>
      </c>
      <c r="V20" s="1">
        <f t="shared" si="4"/>
        <v>13</v>
      </c>
    </row>
    <row r="21" spans="1:22" ht="24" x14ac:dyDescent="0.35">
      <c r="A21" s="1" t="s">
        <v>39</v>
      </c>
      <c r="B21" s="11" t="s">
        <v>298</v>
      </c>
      <c r="C21" s="11" t="s">
        <v>299</v>
      </c>
      <c r="D21" s="12"/>
      <c r="E21" s="14" t="s">
        <v>1035</v>
      </c>
      <c r="F21" s="11" t="s">
        <v>285</v>
      </c>
      <c r="G21" s="11" t="s">
        <v>86</v>
      </c>
      <c r="H21" s="11" t="s">
        <v>902</v>
      </c>
      <c r="I21" s="14"/>
      <c r="L21" s="21">
        <v>5</v>
      </c>
      <c r="M21" s="21">
        <v>5</v>
      </c>
      <c r="O21" s="1" t="s">
        <v>1107</v>
      </c>
      <c r="P21" s="1">
        <v>5</v>
      </c>
      <c r="Q21" s="1"/>
      <c r="R21" s="1"/>
      <c r="S21" s="1" t="s">
        <v>1107</v>
      </c>
      <c r="T21" s="21">
        <v>5</v>
      </c>
      <c r="U21" s="21">
        <v>5</v>
      </c>
      <c r="V21" s="1">
        <f t="shared" si="4"/>
        <v>13</v>
      </c>
    </row>
    <row r="22" spans="1:22" ht="24" x14ac:dyDescent="0.35">
      <c r="A22" s="1" t="s">
        <v>39</v>
      </c>
      <c r="B22" s="11" t="s">
        <v>300</v>
      </c>
      <c r="C22" s="11" t="s">
        <v>301</v>
      </c>
      <c r="D22" s="12"/>
      <c r="E22" s="14" t="s">
        <v>1035</v>
      </c>
      <c r="F22" s="11" t="s">
        <v>285</v>
      </c>
      <c r="G22" s="11" t="s">
        <v>86</v>
      </c>
      <c r="H22" s="11" t="s">
        <v>903</v>
      </c>
      <c r="I22" s="14" t="s">
        <v>963</v>
      </c>
      <c r="L22" s="21">
        <v>5</v>
      </c>
      <c r="M22" s="21">
        <v>5</v>
      </c>
      <c r="O22" s="1" t="s">
        <v>1107</v>
      </c>
      <c r="P22" s="1">
        <v>5</v>
      </c>
      <c r="Q22" s="1"/>
      <c r="R22" s="1"/>
      <c r="S22" s="1" t="s">
        <v>1107</v>
      </c>
      <c r="T22" s="21">
        <v>5</v>
      </c>
      <c r="U22" s="21">
        <v>5</v>
      </c>
      <c r="V22" s="1">
        <f t="shared" si="4"/>
        <v>13</v>
      </c>
    </row>
    <row r="23" spans="1:22" ht="24" x14ac:dyDescent="0.35">
      <c r="A23" s="1" t="s">
        <v>39</v>
      </c>
      <c r="B23" s="11" t="s">
        <v>302</v>
      </c>
      <c r="C23" s="11" t="s">
        <v>303</v>
      </c>
      <c r="D23" s="12"/>
      <c r="E23" s="14" t="s">
        <v>1035</v>
      </c>
      <c r="F23" s="11" t="s">
        <v>285</v>
      </c>
      <c r="G23" s="11" t="s">
        <v>86</v>
      </c>
      <c r="H23" s="11" t="s">
        <v>903</v>
      </c>
      <c r="I23" s="14" t="s">
        <v>964</v>
      </c>
      <c r="L23" s="21">
        <v>5</v>
      </c>
      <c r="M23" s="21">
        <v>5</v>
      </c>
      <c r="O23" s="1" t="s">
        <v>1107</v>
      </c>
      <c r="P23" s="1">
        <v>5</v>
      </c>
      <c r="Q23" s="1"/>
      <c r="R23" s="1"/>
      <c r="S23" s="1" t="s">
        <v>1107</v>
      </c>
      <c r="T23" s="21">
        <v>5</v>
      </c>
      <c r="U23" s="21">
        <v>5</v>
      </c>
      <c r="V23" s="1">
        <f t="shared" si="4"/>
        <v>13</v>
      </c>
    </row>
    <row r="24" spans="1:22" ht="36" x14ac:dyDescent="0.35">
      <c r="A24" s="1" t="s">
        <v>39</v>
      </c>
      <c r="B24" s="11" t="s">
        <v>304</v>
      </c>
      <c r="C24" s="11" t="s">
        <v>305</v>
      </c>
      <c r="D24" s="12"/>
      <c r="E24" s="14" t="s">
        <v>1035</v>
      </c>
      <c r="F24" s="11" t="s">
        <v>285</v>
      </c>
      <c r="G24" s="11" t="s">
        <v>86</v>
      </c>
      <c r="H24" s="11" t="s">
        <v>899</v>
      </c>
      <c r="I24" s="26"/>
      <c r="L24" s="21"/>
      <c r="M24" s="21"/>
      <c r="O24" s="1"/>
      <c r="P24" s="1"/>
      <c r="Q24" s="1"/>
      <c r="R24" s="1"/>
      <c r="S24" s="1"/>
      <c r="T24" s="21"/>
      <c r="U24" s="21"/>
      <c r="V24" s="1">
        <f t="shared" si="4"/>
        <v>13</v>
      </c>
    </row>
    <row r="25" spans="1:22" ht="24" x14ac:dyDescent="0.35">
      <c r="A25" s="1" t="s">
        <v>39</v>
      </c>
      <c r="B25" s="11" t="s">
        <v>306</v>
      </c>
      <c r="C25" s="11" t="s">
        <v>307</v>
      </c>
      <c r="D25" s="12"/>
      <c r="E25" s="14" t="s">
        <v>1036</v>
      </c>
      <c r="F25" s="11" t="s">
        <v>268</v>
      </c>
      <c r="G25" s="11" t="s">
        <v>86</v>
      </c>
      <c r="H25" s="11" t="s">
        <v>904</v>
      </c>
      <c r="I25" s="14" t="s">
        <v>965</v>
      </c>
      <c r="L25" s="21">
        <v>5</v>
      </c>
      <c r="M25" s="21">
        <v>5</v>
      </c>
      <c r="O25" s="1" t="s">
        <v>1107</v>
      </c>
      <c r="P25" s="1">
        <v>5</v>
      </c>
      <c r="Q25" s="1"/>
      <c r="R25" s="1"/>
      <c r="S25" s="1" t="s">
        <v>1107</v>
      </c>
      <c r="T25" s="21">
        <v>5</v>
      </c>
      <c r="U25" s="21">
        <v>5</v>
      </c>
      <c r="V25" s="1">
        <f t="shared" si="4"/>
        <v>14</v>
      </c>
    </row>
    <row r="26" spans="1:22" ht="24" x14ac:dyDescent="0.35">
      <c r="A26" s="1" t="s">
        <v>39</v>
      </c>
      <c r="B26" s="11" t="s">
        <v>308</v>
      </c>
      <c r="C26" s="11" t="s">
        <v>309</v>
      </c>
      <c r="D26" s="12"/>
      <c r="E26" s="14" t="s">
        <v>1036</v>
      </c>
      <c r="F26" s="11" t="s">
        <v>268</v>
      </c>
      <c r="G26" s="11" t="s">
        <v>86</v>
      </c>
      <c r="H26" s="11" t="s">
        <v>905</v>
      </c>
      <c r="I26" s="25"/>
      <c r="L26" s="21">
        <v>5</v>
      </c>
      <c r="M26" s="21">
        <v>5</v>
      </c>
      <c r="O26" s="1" t="s">
        <v>1107</v>
      </c>
      <c r="P26" s="1">
        <v>5</v>
      </c>
      <c r="Q26" s="1"/>
      <c r="R26" s="1"/>
      <c r="S26" s="1" t="s">
        <v>1107</v>
      </c>
      <c r="T26" s="21">
        <v>5</v>
      </c>
      <c r="U26" s="21">
        <v>5</v>
      </c>
      <c r="V26" s="1">
        <f t="shared" si="4"/>
        <v>14</v>
      </c>
    </row>
    <row r="27" spans="1:22" ht="24" x14ac:dyDescent="0.35">
      <c r="A27" s="1" t="s">
        <v>39</v>
      </c>
      <c r="B27" s="11" t="s">
        <v>310</v>
      </c>
      <c r="C27" s="11" t="s">
        <v>311</v>
      </c>
      <c r="D27" s="12"/>
      <c r="E27" s="14" t="s">
        <v>1036</v>
      </c>
      <c r="F27" s="11" t="s">
        <v>268</v>
      </c>
      <c r="G27" s="11" t="s">
        <v>86</v>
      </c>
      <c r="H27" s="11" t="s">
        <v>905</v>
      </c>
      <c r="I27" s="25"/>
      <c r="L27" s="21">
        <v>5</v>
      </c>
      <c r="M27" s="21">
        <v>5</v>
      </c>
      <c r="O27" s="1" t="s">
        <v>1107</v>
      </c>
      <c r="P27" s="1">
        <v>5</v>
      </c>
      <c r="Q27" s="1"/>
      <c r="R27" s="1"/>
      <c r="S27" s="1" t="s">
        <v>1107</v>
      </c>
      <c r="T27" s="21">
        <v>5</v>
      </c>
      <c r="U27" s="21">
        <v>5</v>
      </c>
      <c r="V27" s="1">
        <f t="shared" si="4"/>
        <v>14</v>
      </c>
    </row>
    <row r="28" spans="1:22" ht="24" x14ac:dyDescent="0.35">
      <c r="A28" s="1" t="s">
        <v>39</v>
      </c>
      <c r="B28" s="11" t="s">
        <v>312</v>
      </c>
      <c r="C28" s="11" t="s">
        <v>313</v>
      </c>
      <c r="D28" s="12"/>
      <c r="E28" s="14" t="s">
        <v>1036</v>
      </c>
      <c r="F28" s="11" t="s">
        <v>268</v>
      </c>
      <c r="G28" s="11" t="s">
        <v>86</v>
      </c>
      <c r="H28" s="11" t="s">
        <v>906</v>
      </c>
      <c r="I28" s="25"/>
      <c r="L28" s="21">
        <v>5</v>
      </c>
      <c r="M28" s="21">
        <v>5</v>
      </c>
      <c r="O28" s="1" t="s">
        <v>1107</v>
      </c>
      <c r="P28" s="1">
        <v>5</v>
      </c>
      <c r="Q28" s="1"/>
      <c r="R28" s="1"/>
      <c r="S28" s="1" t="s">
        <v>1107</v>
      </c>
      <c r="T28" s="21">
        <v>5</v>
      </c>
      <c r="U28" s="21">
        <v>5</v>
      </c>
      <c r="V28" s="1">
        <f t="shared" si="4"/>
        <v>14</v>
      </c>
    </row>
    <row r="29" spans="1:22" ht="24" x14ac:dyDescent="0.35">
      <c r="A29" s="1" t="s">
        <v>39</v>
      </c>
      <c r="B29" s="11" t="s">
        <v>122</v>
      </c>
      <c r="C29" s="11" t="s">
        <v>314</v>
      </c>
      <c r="D29" s="12"/>
      <c r="E29" s="14" t="s">
        <v>1036</v>
      </c>
      <c r="F29" s="11" t="s">
        <v>268</v>
      </c>
      <c r="G29" s="11" t="s">
        <v>86</v>
      </c>
      <c r="H29" s="19" t="s">
        <v>1132</v>
      </c>
      <c r="I29" s="19"/>
      <c r="L29" s="21">
        <v>21</v>
      </c>
      <c r="M29" s="21">
        <v>21</v>
      </c>
      <c r="O29" s="24" t="s">
        <v>1109</v>
      </c>
      <c r="P29" s="24">
        <v>1</v>
      </c>
      <c r="Q29" s="24">
        <v>35</v>
      </c>
      <c r="R29" s="24">
        <v>8000</v>
      </c>
      <c r="S29" s="24" t="s">
        <v>1109</v>
      </c>
      <c r="T29" s="21">
        <v>21</v>
      </c>
      <c r="U29" s="21">
        <v>21</v>
      </c>
      <c r="V29" s="1">
        <f t="shared" si="4"/>
        <v>14</v>
      </c>
    </row>
    <row r="30" spans="1:22" ht="24" x14ac:dyDescent="0.35">
      <c r="A30" s="1" t="s">
        <v>39</v>
      </c>
      <c r="B30" s="11" t="s">
        <v>315</v>
      </c>
      <c r="C30" s="11" t="s">
        <v>316</v>
      </c>
      <c r="D30" s="12"/>
      <c r="E30" s="14" t="s">
        <v>1037</v>
      </c>
      <c r="F30" s="11" t="s">
        <v>268</v>
      </c>
      <c r="G30" s="11" t="s">
        <v>86</v>
      </c>
      <c r="H30" s="11" t="s">
        <v>907</v>
      </c>
      <c r="I30" s="14"/>
      <c r="L30" s="21">
        <v>5</v>
      </c>
      <c r="M30" s="21">
        <v>5</v>
      </c>
      <c r="O30" s="1" t="s">
        <v>1107</v>
      </c>
      <c r="P30" s="1">
        <v>5</v>
      </c>
      <c r="Q30" s="1"/>
      <c r="R30" s="1"/>
      <c r="S30" s="1" t="s">
        <v>1107</v>
      </c>
      <c r="T30" s="21">
        <v>5</v>
      </c>
      <c r="U30" s="21">
        <v>5</v>
      </c>
      <c r="V30" s="1">
        <f t="shared" si="4"/>
        <v>15</v>
      </c>
    </row>
    <row r="31" spans="1:22" ht="24" x14ac:dyDescent="0.35">
      <c r="A31" s="1" t="s">
        <v>39</v>
      </c>
      <c r="B31" s="11" t="s">
        <v>317</v>
      </c>
      <c r="C31" s="11" t="s">
        <v>318</v>
      </c>
      <c r="D31" s="12"/>
      <c r="E31" s="14" t="s">
        <v>1037</v>
      </c>
      <c r="F31" s="11" t="s">
        <v>268</v>
      </c>
      <c r="G31" s="11" t="s">
        <v>86</v>
      </c>
      <c r="H31" s="11" t="s">
        <v>908</v>
      </c>
      <c r="I31" s="25"/>
      <c r="L31" s="21">
        <v>5</v>
      </c>
      <c r="M31" s="21">
        <v>5</v>
      </c>
      <c r="O31" s="1" t="s">
        <v>1107</v>
      </c>
      <c r="P31" s="1">
        <v>5</v>
      </c>
      <c r="Q31" s="1"/>
      <c r="R31" s="1"/>
      <c r="S31" s="1" t="s">
        <v>1107</v>
      </c>
      <c r="T31" s="21">
        <v>5</v>
      </c>
      <c r="U31" s="21">
        <v>5</v>
      </c>
      <c r="V31" s="1">
        <f t="shared" si="4"/>
        <v>15</v>
      </c>
    </row>
    <row r="32" spans="1:22" ht="24" x14ac:dyDescent="0.35">
      <c r="A32" s="1" t="s">
        <v>39</v>
      </c>
      <c r="B32" s="11" t="s">
        <v>319</v>
      </c>
      <c r="C32" s="11" t="s">
        <v>320</v>
      </c>
      <c r="D32" s="12"/>
      <c r="E32" s="14" t="s">
        <v>1037</v>
      </c>
      <c r="F32" s="11" t="s">
        <v>268</v>
      </c>
      <c r="G32" s="11" t="s">
        <v>86</v>
      </c>
      <c r="H32" s="11" t="s">
        <v>909</v>
      </c>
      <c r="I32" s="14" t="s">
        <v>966</v>
      </c>
      <c r="L32" s="21">
        <v>5</v>
      </c>
      <c r="M32" s="21">
        <v>5</v>
      </c>
      <c r="O32" s="1" t="s">
        <v>1107</v>
      </c>
      <c r="P32" s="1">
        <v>5</v>
      </c>
      <c r="Q32" s="1"/>
      <c r="R32" s="1"/>
      <c r="S32" s="1" t="s">
        <v>1107</v>
      </c>
      <c r="T32" s="21">
        <v>5</v>
      </c>
      <c r="U32" s="21">
        <v>5</v>
      </c>
      <c r="V32" s="1">
        <f t="shared" si="4"/>
        <v>15</v>
      </c>
    </row>
    <row r="33" spans="1:22" ht="24" x14ac:dyDescent="0.35">
      <c r="A33" s="1" t="s">
        <v>39</v>
      </c>
      <c r="B33" s="11" t="s">
        <v>321</v>
      </c>
      <c r="C33" s="11" t="s">
        <v>322</v>
      </c>
      <c r="D33" s="12"/>
      <c r="E33" s="14" t="s">
        <v>1037</v>
      </c>
      <c r="F33" s="11" t="s">
        <v>268</v>
      </c>
      <c r="G33" s="11" t="s">
        <v>86</v>
      </c>
      <c r="H33" s="11" t="s">
        <v>909</v>
      </c>
      <c r="I33" s="14" t="s">
        <v>967</v>
      </c>
      <c r="L33" s="21">
        <v>5</v>
      </c>
      <c r="M33" s="21">
        <v>5</v>
      </c>
      <c r="O33" s="1" t="s">
        <v>1107</v>
      </c>
      <c r="P33" s="1">
        <v>5</v>
      </c>
      <c r="Q33" s="1"/>
      <c r="R33" s="1"/>
      <c r="S33" s="1" t="s">
        <v>1107</v>
      </c>
      <c r="T33" s="21">
        <v>5</v>
      </c>
      <c r="U33" s="21">
        <v>5</v>
      </c>
      <c r="V33" s="1">
        <f t="shared" si="4"/>
        <v>15</v>
      </c>
    </row>
    <row r="34" spans="1:22" ht="36" x14ac:dyDescent="0.35">
      <c r="A34" s="1" t="s">
        <v>39</v>
      </c>
      <c r="B34" s="11" t="s">
        <v>323</v>
      </c>
      <c r="C34" s="11" t="s">
        <v>324</v>
      </c>
      <c r="D34" s="12"/>
      <c r="E34" s="14" t="s">
        <v>1037</v>
      </c>
      <c r="F34" s="11" t="s">
        <v>268</v>
      </c>
      <c r="G34" s="11" t="s">
        <v>86</v>
      </c>
      <c r="H34" s="11" t="s">
        <v>899</v>
      </c>
      <c r="I34" s="25"/>
      <c r="L34" s="21"/>
      <c r="M34" s="21"/>
      <c r="O34" s="1"/>
      <c r="P34" s="1"/>
      <c r="Q34" s="1"/>
      <c r="R34" s="1"/>
      <c r="S34" s="1"/>
      <c r="T34" s="21"/>
      <c r="U34" s="21"/>
      <c r="V34" s="1">
        <f t="shared" si="4"/>
        <v>15</v>
      </c>
    </row>
    <row r="35" spans="1:22" ht="24" x14ac:dyDescent="0.35">
      <c r="A35" s="1" t="s">
        <v>39</v>
      </c>
      <c r="B35" s="11" t="s">
        <v>325</v>
      </c>
      <c r="C35" s="11" t="s">
        <v>326</v>
      </c>
      <c r="D35" s="12"/>
      <c r="E35" s="14" t="s">
        <v>1038</v>
      </c>
      <c r="F35" s="11" t="s">
        <v>268</v>
      </c>
      <c r="G35" s="11" t="s">
        <v>86</v>
      </c>
      <c r="H35" s="11" t="s">
        <v>910</v>
      </c>
      <c r="I35" s="25"/>
      <c r="L35" s="21">
        <v>5</v>
      </c>
      <c r="M35" s="21">
        <v>5</v>
      </c>
      <c r="O35" s="1" t="s">
        <v>1107</v>
      </c>
      <c r="P35" s="1">
        <v>5</v>
      </c>
      <c r="Q35" s="1"/>
      <c r="R35" s="1"/>
      <c r="S35" s="1" t="s">
        <v>1107</v>
      </c>
      <c r="T35" s="21">
        <v>5</v>
      </c>
      <c r="U35" s="21">
        <v>5</v>
      </c>
      <c r="V35" s="1">
        <f t="shared" si="4"/>
        <v>16</v>
      </c>
    </row>
    <row r="36" spans="1:22" ht="24" x14ac:dyDescent="0.35">
      <c r="A36" s="1" t="s">
        <v>39</v>
      </c>
      <c r="B36" s="11" t="s">
        <v>327</v>
      </c>
      <c r="C36" s="11" t="s">
        <v>328</v>
      </c>
      <c r="D36" s="12"/>
      <c r="E36" s="14" t="s">
        <v>1038</v>
      </c>
      <c r="F36" s="11" t="s">
        <v>268</v>
      </c>
      <c r="G36" s="11" t="s">
        <v>86</v>
      </c>
      <c r="H36" s="11" t="s">
        <v>910</v>
      </c>
      <c r="I36" s="25"/>
      <c r="L36" s="21">
        <v>5</v>
      </c>
      <c r="M36" s="21">
        <v>5</v>
      </c>
      <c r="O36" s="1" t="s">
        <v>1107</v>
      </c>
      <c r="P36" s="1">
        <v>5</v>
      </c>
      <c r="Q36" s="1"/>
      <c r="R36" s="1"/>
      <c r="S36" s="1" t="s">
        <v>1107</v>
      </c>
      <c r="T36" s="21">
        <v>5</v>
      </c>
      <c r="U36" s="21">
        <v>5</v>
      </c>
      <c r="V36" s="1">
        <f t="shared" si="4"/>
        <v>16</v>
      </c>
    </row>
    <row r="37" spans="1:22" ht="24" x14ac:dyDescent="0.35">
      <c r="A37" s="1" t="s">
        <v>39</v>
      </c>
      <c r="B37" s="11" t="s">
        <v>329</v>
      </c>
      <c r="C37" s="11" t="s">
        <v>330</v>
      </c>
      <c r="D37" s="12"/>
      <c r="E37" s="14" t="s">
        <v>1038</v>
      </c>
      <c r="F37" s="11" t="s">
        <v>268</v>
      </c>
      <c r="G37" s="11" t="s">
        <v>86</v>
      </c>
      <c r="H37" s="11" t="s">
        <v>910</v>
      </c>
      <c r="I37" s="25"/>
      <c r="L37" s="21">
        <v>5</v>
      </c>
      <c r="M37" s="21">
        <v>5</v>
      </c>
      <c r="O37" s="1" t="s">
        <v>1107</v>
      </c>
      <c r="P37" s="1">
        <v>5</v>
      </c>
      <c r="Q37" s="1"/>
      <c r="R37" s="1"/>
      <c r="S37" s="1" t="s">
        <v>1107</v>
      </c>
      <c r="T37" s="21">
        <v>5</v>
      </c>
      <c r="U37" s="21">
        <v>5</v>
      </c>
      <c r="V37" s="1">
        <f t="shared" si="4"/>
        <v>16</v>
      </c>
    </row>
    <row r="38" spans="1:22" ht="24" x14ac:dyDescent="0.35">
      <c r="A38" s="1" t="s">
        <v>39</v>
      </c>
      <c r="B38" s="11" t="s">
        <v>331</v>
      </c>
      <c r="C38" s="11" t="s">
        <v>332</v>
      </c>
      <c r="D38" s="12"/>
      <c r="E38" s="14" t="s">
        <v>1038</v>
      </c>
      <c r="F38" s="11" t="s">
        <v>268</v>
      </c>
      <c r="G38" s="11" t="s">
        <v>86</v>
      </c>
      <c r="H38" s="11" t="s">
        <v>911</v>
      </c>
      <c r="I38" s="25"/>
      <c r="L38" s="21">
        <v>5</v>
      </c>
      <c r="M38" s="21">
        <v>5</v>
      </c>
      <c r="O38" s="1" t="s">
        <v>1107</v>
      </c>
      <c r="P38" s="1">
        <v>5</v>
      </c>
      <c r="Q38" s="1"/>
      <c r="R38" s="1"/>
      <c r="S38" s="1" t="s">
        <v>1107</v>
      </c>
      <c r="T38" s="21">
        <v>5</v>
      </c>
      <c r="U38" s="21">
        <v>5</v>
      </c>
      <c r="V38" s="1">
        <f t="shared" si="4"/>
        <v>16</v>
      </c>
    </row>
    <row r="39" spans="1:22" ht="24" x14ac:dyDescent="0.35">
      <c r="A39" s="1" t="s">
        <v>39</v>
      </c>
      <c r="B39" s="11" t="s">
        <v>89</v>
      </c>
      <c r="C39" s="11" t="s">
        <v>333</v>
      </c>
      <c r="D39" s="12"/>
      <c r="E39" s="14" t="s">
        <v>1038</v>
      </c>
      <c r="F39" s="11" t="s">
        <v>268</v>
      </c>
      <c r="G39" s="11" t="s">
        <v>86</v>
      </c>
      <c r="H39" s="19" t="s">
        <v>1131</v>
      </c>
      <c r="I39" s="19"/>
      <c r="L39" s="21">
        <v>21</v>
      </c>
      <c r="M39" s="21">
        <v>21</v>
      </c>
      <c r="O39" s="24" t="s">
        <v>1109</v>
      </c>
      <c r="P39" s="24">
        <v>1</v>
      </c>
      <c r="Q39" s="24">
        <v>35</v>
      </c>
      <c r="R39" s="24">
        <v>8000</v>
      </c>
      <c r="S39" s="24" t="s">
        <v>1109</v>
      </c>
      <c r="T39" s="21">
        <v>21</v>
      </c>
      <c r="U39" s="21">
        <v>21</v>
      </c>
      <c r="V39" s="1">
        <f t="shared" si="4"/>
        <v>16</v>
      </c>
    </row>
    <row r="40" spans="1:22" ht="24" x14ac:dyDescent="0.35">
      <c r="A40" s="1" t="s">
        <v>39</v>
      </c>
      <c r="B40" s="11" t="s">
        <v>334</v>
      </c>
      <c r="C40" s="11" t="s">
        <v>335</v>
      </c>
      <c r="D40" s="12"/>
      <c r="E40" s="14" t="s">
        <v>1043</v>
      </c>
      <c r="F40" s="11" t="s">
        <v>336</v>
      </c>
      <c r="G40" s="11" t="s">
        <v>86</v>
      </c>
      <c r="H40" s="11" t="s">
        <v>912</v>
      </c>
      <c r="I40" s="25" t="s">
        <v>968</v>
      </c>
      <c r="L40" s="21">
        <v>5</v>
      </c>
      <c r="M40" s="21">
        <v>5</v>
      </c>
      <c r="O40" s="1" t="s">
        <v>1107</v>
      </c>
      <c r="P40" s="1">
        <v>5</v>
      </c>
      <c r="Q40" s="1"/>
      <c r="R40" s="1"/>
      <c r="S40" s="1" t="s">
        <v>1107</v>
      </c>
      <c r="T40" s="21">
        <v>5</v>
      </c>
      <c r="U40" s="21">
        <v>5</v>
      </c>
      <c r="V40" s="1">
        <f t="shared" si="4"/>
        <v>17</v>
      </c>
    </row>
    <row r="41" spans="1:22" ht="24" x14ac:dyDescent="0.35">
      <c r="A41" s="1" t="s">
        <v>39</v>
      </c>
      <c r="B41" s="11" t="s">
        <v>337</v>
      </c>
      <c r="C41" s="11" t="s">
        <v>338</v>
      </c>
      <c r="D41" s="12"/>
      <c r="E41" s="14" t="s">
        <v>1043</v>
      </c>
      <c r="F41" s="11" t="s">
        <v>336</v>
      </c>
      <c r="G41" s="11" t="s">
        <v>86</v>
      </c>
      <c r="H41" s="11" t="s">
        <v>913</v>
      </c>
      <c r="I41" s="25"/>
      <c r="L41" s="21">
        <v>5</v>
      </c>
      <c r="M41" s="21">
        <v>5</v>
      </c>
      <c r="O41" s="1" t="s">
        <v>1107</v>
      </c>
      <c r="P41" s="1">
        <v>5</v>
      </c>
      <c r="Q41" s="1"/>
      <c r="R41" s="1"/>
      <c r="S41" s="1" t="s">
        <v>1107</v>
      </c>
      <c r="T41" s="21">
        <v>5</v>
      </c>
      <c r="U41" s="21">
        <v>5</v>
      </c>
      <c r="V41" s="1">
        <f t="shared" si="4"/>
        <v>17</v>
      </c>
    </row>
    <row r="42" spans="1:22" ht="24" x14ac:dyDescent="0.35">
      <c r="A42" s="1" t="s">
        <v>39</v>
      </c>
      <c r="B42" s="11" t="s">
        <v>339</v>
      </c>
      <c r="C42" s="11" t="s">
        <v>340</v>
      </c>
      <c r="D42" s="12"/>
      <c r="E42" s="14" t="s">
        <v>1043</v>
      </c>
      <c r="F42" s="11" t="s">
        <v>336</v>
      </c>
      <c r="G42" s="11" t="s">
        <v>86</v>
      </c>
      <c r="H42" s="11" t="s">
        <v>914</v>
      </c>
      <c r="I42" s="25" t="s">
        <v>969</v>
      </c>
      <c r="L42" s="21">
        <v>5</v>
      </c>
      <c r="M42" s="21">
        <v>5</v>
      </c>
      <c r="O42" s="1" t="s">
        <v>1107</v>
      </c>
      <c r="P42" s="1">
        <v>5</v>
      </c>
      <c r="Q42" s="1"/>
      <c r="R42" s="1"/>
      <c r="S42" s="1" t="s">
        <v>1107</v>
      </c>
      <c r="T42" s="21">
        <v>5</v>
      </c>
      <c r="U42" s="21">
        <v>5</v>
      </c>
      <c r="V42" s="1">
        <f t="shared" si="4"/>
        <v>17</v>
      </c>
    </row>
    <row r="43" spans="1:22" ht="24" x14ac:dyDescent="0.35">
      <c r="A43" s="1" t="s">
        <v>39</v>
      </c>
      <c r="B43" s="11" t="s">
        <v>341</v>
      </c>
      <c r="C43" s="11" t="s">
        <v>342</v>
      </c>
      <c r="D43" s="12"/>
      <c r="E43" s="14" t="s">
        <v>1043</v>
      </c>
      <c r="F43" s="11" t="s">
        <v>336</v>
      </c>
      <c r="G43" s="11" t="s">
        <v>86</v>
      </c>
      <c r="H43" s="11" t="s">
        <v>914</v>
      </c>
      <c r="I43" s="25" t="s">
        <v>970</v>
      </c>
      <c r="L43" s="21">
        <v>5</v>
      </c>
      <c r="M43" s="21">
        <v>5</v>
      </c>
      <c r="O43" s="1" t="s">
        <v>1107</v>
      </c>
      <c r="P43" s="1">
        <v>5</v>
      </c>
      <c r="Q43" s="1"/>
      <c r="R43" s="1"/>
      <c r="S43" s="1" t="s">
        <v>1107</v>
      </c>
      <c r="T43" s="21">
        <v>5</v>
      </c>
      <c r="U43" s="21">
        <v>5</v>
      </c>
      <c r="V43" s="1">
        <f t="shared" si="4"/>
        <v>17</v>
      </c>
    </row>
    <row r="44" spans="1:22" ht="36" x14ac:dyDescent="0.35">
      <c r="A44" s="1" t="s">
        <v>39</v>
      </c>
      <c r="B44" s="11" t="s">
        <v>343</v>
      </c>
      <c r="C44" s="11" t="s">
        <v>344</v>
      </c>
      <c r="D44" s="12"/>
      <c r="E44" s="14" t="s">
        <v>1043</v>
      </c>
      <c r="F44" s="11" t="s">
        <v>336</v>
      </c>
      <c r="G44" s="11" t="s">
        <v>86</v>
      </c>
      <c r="H44" s="11" t="s">
        <v>899</v>
      </c>
      <c r="I44" s="25"/>
      <c r="L44" s="21"/>
      <c r="M44" s="21"/>
      <c r="O44" s="1"/>
      <c r="P44" s="1"/>
      <c r="Q44" s="1"/>
      <c r="R44" s="1"/>
      <c r="S44" s="1"/>
      <c r="T44" s="21"/>
      <c r="U44" s="21"/>
      <c r="V44" s="1">
        <f t="shared" si="4"/>
        <v>17</v>
      </c>
    </row>
    <row r="45" spans="1:22" ht="24" x14ac:dyDescent="0.35">
      <c r="A45" s="1" t="s">
        <v>39</v>
      </c>
      <c r="B45" s="11" t="s">
        <v>345</v>
      </c>
      <c r="C45" s="11" t="s">
        <v>346</v>
      </c>
      <c r="D45" s="12"/>
      <c r="E45" s="14" t="s">
        <v>1044</v>
      </c>
      <c r="F45" s="11" t="s">
        <v>336</v>
      </c>
      <c r="G45" s="11" t="s">
        <v>86</v>
      </c>
      <c r="H45" s="11" t="s">
        <v>915</v>
      </c>
      <c r="I45" s="25" t="s">
        <v>971</v>
      </c>
      <c r="L45" s="21">
        <v>5</v>
      </c>
      <c r="M45" s="21">
        <v>5</v>
      </c>
      <c r="O45" s="1" t="s">
        <v>1107</v>
      </c>
      <c r="P45" s="1">
        <v>5</v>
      </c>
      <c r="Q45" s="1"/>
      <c r="R45" s="1"/>
      <c r="S45" s="1" t="s">
        <v>1107</v>
      </c>
      <c r="T45" s="21">
        <v>5</v>
      </c>
      <c r="U45" s="21">
        <v>5</v>
      </c>
      <c r="V45" s="1">
        <f t="shared" si="4"/>
        <v>18</v>
      </c>
    </row>
    <row r="46" spans="1:22" ht="24" x14ac:dyDescent="0.35">
      <c r="A46" s="1" t="s">
        <v>39</v>
      </c>
      <c r="B46" s="11" t="s">
        <v>347</v>
      </c>
      <c r="C46" s="11" t="s">
        <v>348</v>
      </c>
      <c r="D46" s="12"/>
      <c r="E46" s="14" t="s">
        <v>1044</v>
      </c>
      <c r="F46" s="11" t="s">
        <v>336</v>
      </c>
      <c r="G46" s="11" t="s">
        <v>86</v>
      </c>
      <c r="H46" s="11" t="s">
        <v>915</v>
      </c>
      <c r="I46" s="26" t="s">
        <v>972</v>
      </c>
      <c r="L46" s="21">
        <v>5</v>
      </c>
      <c r="M46" s="21">
        <v>5</v>
      </c>
      <c r="O46" s="1" t="s">
        <v>1107</v>
      </c>
      <c r="P46" s="1">
        <v>5</v>
      </c>
      <c r="Q46" s="1"/>
      <c r="R46" s="1"/>
      <c r="S46" s="1" t="s">
        <v>1107</v>
      </c>
      <c r="T46" s="21">
        <v>5</v>
      </c>
      <c r="U46" s="21">
        <v>5</v>
      </c>
      <c r="V46" s="1">
        <f t="shared" si="4"/>
        <v>18</v>
      </c>
    </row>
    <row r="47" spans="1:22" ht="24" x14ac:dyDescent="0.35">
      <c r="A47" s="1" t="s">
        <v>39</v>
      </c>
      <c r="B47" s="11" t="s">
        <v>349</v>
      </c>
      <c r="C47" s="11" t="s">
        <v>350</v>
      </c>
      <c r="D47" s="12"/>
      <c r="E47" s="14" t="s">
        <v>1044</v>
      </c>
      <c r="F47" s="11" t="s">
        <v>336</v>
      </c>
      <c r="G47" s="11" t="s">
        <v>86</v>
      </c>
      <c r="H47" s="11" t="s">
        <v>915</v>
      </c>
      <c r="I47" s="25"/>
      <c r="L47" s="21">
        <v>5</v>
      </c>
      <c r="M47" s="21">
        <v>5</v>
      </c>
      <c r="O47" s="1" t="s">
        <v>1107</v>
      </c>
      <c r="P47" s="1">
        <v>5</v>
      </c>
      <c r="Q47" s="1"/>
      <c r="R47" s="1"/>
      <c r="S47" s="1" t="s">
        <v>1107</v>
      </c>
      <c r="T47" s="21">
        <v>5</v>
      </c>
      <c r="U47" s="21">
        <v>5</v>
      </c>
      <c r="V47" s="1">
        <f t="shared" si="4"/>
        <v>18</v>
      </c>
    </row>
    <row r="48" spans="1:22" ht="24" x14ac:dyDescent="0.35">
      <c r="A48" s="1" t="s">
        <v>39</v>
      </c>
      <c r="B48" s="11" t="s">
        <v>351</v>
      </c>
      <c r="C48" s="11" t="s">
        <v>352</v>
      </c>
      <c r="D48" s="12"/>
      <c r="E48" s="14" t="s">
        <v>1044</v>
      </c>
      <c r="F48" s="11" t="s">
        <v>336</v>
      </c>
      <c r="G48" s="11" t="s">
        <v>86</v>
      </c>
      <c r="H48" s="11" t="s">
        <v>916</v>
      </c>
      <c r="I48" s="25"/>
      <c r="L48" s="21">
        <v>5</v>
      </c>
      <c r="M48" s="21">
        <v>5</v>
      </c>
      <c r="O48" s="1" t="s">
        <v>1107</v>
      </c>
      <c r="P48" s="1">
        <v>5</v>
      </c>
      <c r="Q48" s="1"/>
      <c r="R48" s="1"/>
      <c r="S48" s="1" t="s">
        <v>1107</v>
      </c>
      <c r="T48" s="21">
        <v>5</v>
      </c>
      <c r="U48" s="21">
        <v>5</v>
      </c>
      <c r="V48" s="1">
        <f t="shared" si="4"/>
        <v>18</v>
      </c>
    </row>
    <row r="49" spans="1:22" ht="24" x14ac:dyDescent="0.35">
      <c r="A49" s="1" t="s">
        <v>39</v>
      </c>
      <c r="B49" s="11" t="s">
        <v>153</v>
      </c>
      <c r="C49" s="11" t="s">
        <v>353</v>
      </c>
      <c r="D49" s="12"/>
      <c r="E49" s="14" t="s">
        <v>1044</v>
      </c>
      <c r="F49" s="11" t="s">
        <v>336</v>
      </c>
      <c r="G49" s="11" t="s">
        <v>86</v>
      </c>
      <c r="H49" s="19" t="s">
        <v>1133</v>
      </c>
      <c r="I49" s="19"/>
      <c r="L49" s="22">
        <v>21</v>
      </c>
      <c r="M49" s="22">
        <v>21</v>
      </c>
      <c r="O49" s="24" t="s">
        <v>1109</v>
      </c>
      <c r="P49" s="24">
        <v>1</v>
      </c>
      <c r="Q49" s="24">
        <v>35</v>
      </c>
      <c r="R49" s="24">
        <v>8000</v>
      </c>
      <c r="S49" s="24" t="s">
        <v>1109</v>
      </c>
      <c r="T49" s="22">
        <v>21</v>
      </c>
      <c r="U49" s="22">
        <v>21</v>
      </c>
      <c r="V49" s="1">
        <f t="shared" si="4"/>
        <v>18</v>
      </c>
    </row>
    <row r="50" spans="1:22" ht="24" x14ac:dyDescent="0.35">
      <c r="A50" s="1" t="s">
        <v>39</v>
      </c>
      <c r="B50" s="11" t="s">
        <v>354</v>
      </c>
      <c r="C50" s="11" t="s">
        <v>355</v>
      </c>
      <c r="D50" s="12"/>
      <c r="E50" s="14" t="s">
        <v>1045</v>
      </c>
      <c r="F50" s="11" t="s">
        <v>356</v>
      </c>
      <c r="G50" s="11" t="s">
        <v>86</v>
      </c>
      <c r="H50" s="11" t="s">
        <v>917</v>
      </c>
      <c r="I50" s="25"/>
      <c r="L50" s="21">
        <v>5</v>
      </c>
      <c r="M50" s="21">
        <v>5</v>
      </c>
      <c r="O50" s="1" t="s">
        <v>1107</v>
      </c>
      <c r="P50" s="1">
        <v>5</v>
      </c>
      <c r="Q50" s="1"/>
      <c r="R50" s="1"/>
      <c r="S50" s="1" t="s">
        <v>1107</v>
      </c>
      <c r="T50" s="21">
        <v>5</v>
      </c>
      <c r="U50" s="21">
        <v>5</v>
      </c>
      <c r="V50" s="1">
        <f t="shared" si="4"/>
        <v>19</v>
      </c>
    </row>
    <row r="51" spans="1:22" ht="24" x14ac:dyDescent="0.35">
      <c r="A51" s="1" t="s">
        <v>39</v>
      </c>
      <c r="B51" s="11" t="s">
        <v>357</v>
      </c>
      <c r="C51" s="11" t="s">
        <v>358</v>
      </c>
      <c r="D51" s="12"/>
      <c r="E51" s="14" t="s">
        <v>1045</v>
      </c>
      <c r="F51" s="11" t="s">
        <v>356</v>
      </c>
      <c r="G51" s="11" t="s">
        <v>86</v>
      </c>
      <c r="H51" s="11" t="s">
        <v>918</v>
      </c>
      <c r="I51" s="25"/>
      <c r="L51" s="21">
        <v>5</v>
      </c>
      <c r="M51" s="21">
        <v>5</v>
      </c>
      <c r="O51" s="1" t="s">
        <v>1107</v>
      </c>
      <c r="P51" s="1">
        <v>5</v>
      </c>
      <c r="Q51" s="1"/>
      <c r="R51" s="1"/>
      <c r="S51" s="1" t="s">
        <v>1107</v>
      </c>
      <c r="T51" s="21">
        <v>5</v>
      </c>
      <c r="U51" s="21">
        <v>5</v>
      </c>
      <c r="V51" s="1">
        <f t="shared" si="4"/>
        <v>19</v>
      </c>
    </row>
    <row r="52" spans="1:22" ht="24" x14ac:dyDescent="0.35">
      <c r="A52" s="1" t="s">
        <v>39</v>
      </c>
      <c r="B52" s="11" t="s">
        <v>359</v>
      </c>
      <c r="C52" s="11" t="s">
        <v>360</v>
      </c>
      <c r="D52" s="12"/>
      <c r="E52" s="14" t="s">
        <v>1045</v>
      </c>
      <c r="F52" s="11" t="s">
        <v>356</v>
      </c>
      <c r="G52" s="11" t="s">
        <v>86</v>
      </c>
      <c r="H52" s="11" t="s">
        <v>919</v>
      </c>
      <c r="I52" s="25"/>
      <c r="L52" s="21">
        <v>5</v>
      </c>
      <c r="M52" s="21">
        <v>5</v>
      </c>
      <c r="O52" s="1" t="s">
        <v>1107</v>
      </c>
      <c r="P52" s="1">
        <v>5</v>
      </c>
      <c r="Q52" s="1"/>
      <c r="R52" s="1"/>
      <c r="S52" s="1" t="s">
        <v>1107</v>
      </c>
      <c r="T52" s="21">
        <v>5</v>
      </c>
      <c r="U52" s="21">
        <v>5</v>
      </c>
      <c r="V52" s="1">
        <f t="shared" si="4"/>
        <v>19</v>
      </c>
    </row>
    <row r="53" spans="1:22" ht="24" x14ac:dyDescent="0.35">
      <c r="A53" s="1" t="s">
        <v>39</v>
      </c>
      <c r="B53" s="11" t="s">
        <v>361</v>
      </c>
      <c r="C53" s="11" t="s">
        <v>362</v>
      </c>
      <c r="D53" s="12"/>
      <c r="E53" s="14" t="s">
        <v>1045</v>
      </c>
      <c r="F53" s="11" t="s">
        <v>356</v>
      </c>
      <c r="G53" s="11" t="s">
        <v>86</v>
      </c>
      <c r="H53" s="11" t="s">
        <v>919</v>
      </c>
      <c r="I53" s="25"/>
      <c r="L53" s="21">
        <v>5</v>
      </c>
      <c r="M53" s="21">
        <v>5</v>
      </c>
      <c r="O53" s="1" t="s">
        <v>1107</v>
      </c>
      <c r="P53" s="1">
        <v>5</v>
      </c>
      <c r="Q53" s="1"/>
      <c r="R53" s="1"/>
      <c r="S53" s="1" t="s">
        <v>1107</v>
      </c>
      <c r="T53" s="21">
        <v>5</v>
      </c>
      <c r="U53" s="21">
        <v>5</v>
      </c>
      <c r="V53" s="1">
        <f t="shared" si="4"/>
        <v>19</v>
      </c>
    </row>
    <row r="54" spans="1:22" ht="36" x14ac:dyDescent="0.35">
      <c r="A54" s="1" t="s">
        <v>39</v>
      </c>
      <c r="B54" s="11" t="s">
        <v>363</v>
      </c>
      <c r="C54" s="11" t="s">
        <v>364</v>
      </c>
      <c r="D54" s="12"/>
      <c r="E54" s="14" t="s">
        <v>1045</v>
      </c>
      <c r="F54" s="11" t="s">
        <v>356</v>
      </c>
      <c r="G54" s="11" t="s">
        <v>86</v>
      </c>
      <c r="H54" s="11" t="s">
        <v>899</v>
      </c>
      <c r="I54" s="25"/>
      <c r="L54" s="21"/>
      <c r="M54" s="21"/>
      <c r="O54" s="1"/>
      <c r="P54" s="1"/>
      <c r="Q54" s="1"/>
      <c r="R54" s="1"/>
      <c r="S54" s="1"/>
      <c r="T54" s="21"/>
      <c r="U54" s="21"/>
      <c r="V54" s="1">
        <f t="shared" si="4"/>
        <v>19</v>
      </c>
    </row>
    <row r="55" spans="1:22" ht="24" x14ac:dyDescent="0.35">
      <c r="A55" s="1" t="s">
        <v>39</v>
      </c>
      <c r="B55" s="11" t="s">
        <v>365</v>
      </c>
      <c r="C55" s="11" t="s">
        <v>366</v>
      </c>
      <c r="D55" s="12"/>
      <c r="E55" s="14" t="s">
        <v>1046</v>
      </c>
      <c r="F55" s="11" t="s">
        <v>356</v>
      </c>
      <c r="G55" s="11" t="s">
        <v>86</v>
      </c>
      <c r="H55" s="11" t="s">
        <v>974</v>
      </c>
      <c r="I55" s="26" t="s">
        <v>975</v>
      </c>
      <c r="L55" s="21">
        <v>5</v>
      </c>
      <c r="M55" s="21">
        <v>5</v>
      </c>
      <c r="O55" s="1" t="s">
        <v>1107</v>
      </c>
      <c r="P55" s="1">
        <v>5</v>
      </c>
      <c r="Q55" s="1"/>
      <c r="R55" s="1"/>
      <c r="S55" s="1" t="s">
        <v>1107</v>
      </c>
      <c r="T55" s="21">
        <v>5</v>
      </c>
      <c r="U55" s="21">
        <v>5</v>
      </c>
      <c r="V55" s="1">
        <f t="shared" si="4"/>
        <v>20</v>
      </c>
    </row>
    <row r="56" spans="1:22" ht="24" x14ac:dyDescent="0.35">
      <c r="A56" s="1" t="s">
        <v>39</v>
      </c>
      <c r="B56" s="11" t="s">
        <v>367</v>
      </c>
      <c r="C56" s="11" t="s">
        <v>368</v>
      </c>
      <c r="D56" s="12"/>
      <c r="E56" s="14" t="s">
        <v>1046</v>
      </c>
      <c r="F56" s="11" t="s">
        <v>356</v>
      </c>
      <c r="G56" s="11" t="s">
        <v>86</v>
      </c>
      <c r="H56" s="11" t="s">
        <v>920</v>
      </c>
      <c r="I56" s="25"/>
      <c r="L56" s="21">
        <v>5</v>
      </c>
      <c r="M56" s="21">
        <v>5</v>
      </c>
      <c r="O56" s="1" t="s">
        <v>1107</v>
      </c>
      <c r="P56" s="1">
        <v>5</v>
      </c>
      <c r="Q56" s="1"/>
      <c r="R56" s="1"/>
      <c r="S56" s="1" t="s">
        <v>1107</v>
      </c>
      <c r="T56" s="21">
        <v>5</v>
      </c>
      <c r="U56" s="21">
        <v>5</v>
      </c>
      <c r="V56" s="1">
        <f t="shared" si="4"/>
        <v>20</v>
      </c>
    </row>
    <row r="57" spans="1:22" ht="24" x14ac:dyDescent="0.35">
      <c r="A57" s="1" t="s">
        <v>39</v>
      </c>
      <c r="B57" s="11" t="s">
        <v>369</v>
      </c>
      <c r="C57" s="11" t="s">
        <v>370</v>
      </c>
      <c r="D57" s="12"/>
      <c r="E57" s="14" t="s">
        <v>1046</v>
      </c>
      <c r="F57" s="11" t="s">
        <v>356</v>
      </c>
      <c r="G57" s="11" t="s">
        <v>86</v>
      </c>
      <c r="H57" s="11" t="s">
        <v>920</v>
      </c>
      <c r="I57" s="25"/>
      <c r="L57" s="21">
        <v>5</v>
      </c>
      <c r="M57" s="21">
        <v>5</v>
      </c>
      <c r="O57" s="1" t="s">
        <v>1107</v>
      </c>
      <c r="P57" s="1">
        <v>5</v>
      </c>
      <c r="Q57" s="1"/>
      <c r="R57" s="1"/>
      <c r="S57" s="1" t="s">
        <v>1107</v>
      </c>
      <c r="T57" s="21">
        <v>5</v>
      </c>
      <c r="U57" s="21">
        <v>5</v>
      </c>
      <c r="V57" s="1">
        <f t="shared" si="4"/>
        <v>20</v>
      </c>
    </row>
    <row r="58" spans="1:22" ht="24" x14ac:dyDescent="0.35">
      <c r="A58" s="1" t="s">
        <v>39</v>
      </c>
      <c r="B58" s="11" t="s">
        <v>371</v>
      </c>
      <c r="C58" s="11" t="s">
        <v>372</v>
      </c>
      <c r="D58" s="12"/>
      <c r="E58" s="14" t="s">
        <v>1046</v>
      </c>
      <c r="F58" s="11" t="s">
        <v>356</v>
      </c>
      <c r="G58" s="11" t="s">
        <v>973</v>
      </c>
      <c r="H58" s="11" t="s">
        <v>1147</v>
      </c>
      <c r="I58" s="25"/>
      <c r="L58" s="21">
        <v>5</v>
      </c>
      <c r="M58" s="21">
        <v>5</v>
      </c>
      <c r="O58" s="1" t="s">
        <v>1107</v>
      </c>
      <c r="P58" s="1">
        <v>5</v>
      </c>
      <c r="Q58" s="1"/>
      <c r="R58" s="1"/>
      <c r="S58" s="1" t="s">
        <v>1107</v>
      </c>
      <c r="T58" s="21">
        <v>5</v>
      </c>
      <c r="U58" s="21">
        <v>5</v>
      </c>
      <c r="V58" s="1">
        <f t="shared" si="4"/>
        <v>20</v>
      </c>
    </row>
    <row r="59" spans="1:22" ht="24" x14ac:dyDescent="0.35">
      <c r="A59" s="1" t="s">
        <v>39</v>
      </c>
      <c r="B59" s="11" t="s">
        <v>98</v>
      </c>
      <c r="C59" s="11" t="s">
        <v>373</v>
      </c>
      <c r="D59" s="12"/>
      <c r="E59" s="14" t="s">
        <v>1046</v>
      </c>
      <c r="F59" s="11" t="s">
        <v>356</v>
      </c>
      <c r="G59" s="11" t="s">
        <v>86</v>
      </c>
      <c r="H59" s="11" t="s">
        <v>1099</v>
      </c>
      <c r="I59" s="19"/>
      <c r="L59" s="21">
        <v>21</v>
      </c>
      <c r="M59" s="21">
        <v>21</v>
      </c>
      <c r="O59" s="24" t="s">
        <v>1109</v>
      </c>
      <c r="P59" s="24">
        <v>1</v>
      </c>
      <c r="Q59" s="24">
        <v>20</v>
      </c>
      <c r="R59" s="24">
        <v>8000</v>
      </c>
      <c r="S59" s="24" t="s">
        <v>1109</v>
      </c>
      <c r="T59" s="21">
        <v>21</v>
      </c>
      <c r="U59" s="21">
        <v>21</v>
      </c>
      <c r="V59" s="1">
        <f t="shared" si="4"/>
        <v>20</v>
      </c>
    </row>
    <row r="60" spans="1:22" x14ac:dyDescent="0.15">
      <c r="A60" s="1"/>
      <c r="B60" s="11"/>
      <c r="C60" s="12"/>
      <c r="D60" s="11"/>
      <c r="E60" s="11"/>
      <c r="F60" s="11"/>
      <c r="G60" s="11"/>
      <c r="H60" s="12"/>
      <c r="I60" s="1"/>
    </row>
  </sheetData>
  <phoneticPr fontId="35" type="noConversion"/>
  <conditionalFormatting sqref="B1:B3 B5:B60">
    <cfRule type="duplicateValues" dxfId="12" priority="1"/>
  </conditionalFormatting>
  <pageMargins left="0.7" right="0.7" top="0.75" bottom="0.75" header="0.3" footer="0.3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67"/>
  <sheetViews>
    <sheetView workbookViewId="0">
      <pane xSplit="3" ySplit="9" topLeftCell="D10" activePane="bottomRight" state="frozen"/>
      <selection pane="topRight"/>
      <selection pane="bottomLeft"/>
      <selection pane="bottomRight" activeCell="H21" sqref="H21"/>
    </sheetView>
  </sheetViews>
  <sheetFormatPr defaultColWidth="9" defaultRowHeight="13.5" x14ac:dyDescent="0.15"/>
  <cols>
    <col min="2" max="2" width="4.5" customWidth="1"/>
    <col min="3" max="3" width="7.875" customWidth="1"/>
    <col min="4" max="4" width="6.875" customWidth="1"/>
    <col min="5" max="5" width="48.125" customWidth="1"/>
    <col min="6" max="6" width="12.875" customWidth="1"/>
    <col min="7" max="7" width="15.125" customWidth="1"/>
    <col min="8" max="8" width="62.375" customWidth="1"/>
    <col min="9" max="9" width="20.625" customWidth="1"/>
    <col min="10" max="10" width="13.125" customWidth="1"/>
    <col min="11" max="11" width="14.5" style="1" customWidth="1"/>
    <col min="15" max="15" width="107.125" customWidth="1"/>
    <col min="16" max="16" width="15.375" customWidth="1"/>
    <col min="17" max="17" width="10.5" customWidth="1"/>
    <col min="19" max="19" width="94.875" customWidth="1"/>
    <col min="22" max="22" width="10.5" bestFit="1" customWidth="1"/>
  </cols>
  <sheetData>
    <row r="1" spans="1:24" x14ac:dyDescent="0.15">
      <c r="A1" s="2" t="s">
        <v>38</v>
      </c>
      <c r="B1" s="3" t="s">
        <v>39</v>
      </c>
      <c r="C1" s="3" t="s">
        <v>39</v>
      </c>
      <c r="D1" s="3" t="s">
        <v>39</v>
      </c>
      <c r="E1" s="3" t="s">
        <v>39</v>
      </c>
      <c r="F1" s="3" t="s">
        <v>39</v>
      </c>
      <c r="G1" s="3" t="s">
        <v>39</v>
      </c>
      <c r="H1" s="3" t="s">
        <v>39</v>
      </c>
      <c r="I1" s="3" t="s">
        <v>39</v>
      </c>
      <c r="J1" s="3" t="s">
        <v>39</v>
      </c>
      <c r="K1" s="3" t="s">
        <v>39</v>
      </c>
      <c r="L1" s="3" t="s">
        <v>39</v>
      </c>
      <c r="M1" s="3" t="s">
        <v>39</v>
      </c>
      <c r="N1" s="3" t="s">
        <v>39</v>
      </c>
      <c r="O1" s="3" t="s">
        <v>39</v>
      </c>
      <c r="P1" s="3" t="s">
        <v>39</v>
      </c>
      <c r="Q1" s="3" t="s">
        <v>39</v>
      </c>
      <c r="R1" s="3" t="s">
        <v>39</v>
      </c>
      <c r="S1" s="3" t="s">
        <v>39</v>
      </c>
      <c r="T1" s="3" t="s">
        <v>39</v>
      </c>
      <c r="U1" s="3" t="s">
        <v>39</v>
      </c>
      <c r="V1" s="3" t="s">
        <v>39</v>
      </c>
    </row>
    <row r="2" spans="1:24" x14ac:dyDescent="0.15">
      <c r="A2" s="2" t="s">
        <v>40</v>
      </c>
      <c r="B2" s="3" t="s">
        <v>39</v>
      </c>
      <c r="C2" s="3" t="s">
        <v>39</v>
      </c>
      <c r="D2" s="3" t="s">
        <v>39</v>
      </c>
      <c r="E2" s="3" t="s">
        <v>39</v>
      </c>
      <c r="F2" s="3" t="s">
        <v>39</v>
      </c>
      <c r="G2" s="3" t="s">
        <v>39</v>
      </c>
      <c r="H2" s="3" t="s">
        <v>39</v>
      </c>
      <c r="I2" s="3" t="s">
        <v>39</v>
      </c>
      <c r="J2" s="3" t="s">
        <v>39</v>
      </c>
      <c r="K2" s="3" t="s">
        <v>39</v>
      </c>
      <c r="L2" s="3" t="s">
        <v>39</v>
      </c>
      <c r="M2" s="3" t="s">
        <v>39</v>
      </c>
      <c r="N2" s="3" t="s">
        <v>39</v>
      </c>
      <c r="O2" s="3" t="s">
        <v>39</v>
      </c>
      <c r="P2" s="3" t="s">
        <v>39</v>
      </c>
      <c r="Q2" s="3" t="s">
        <v>39</v>
      </c>
      <c r="R2" s="3" t="s">
        <v>39</v>
      </c>
      <c r="S2" s="3" t="s">
        <v>39</v>
      </c>
      <c r="T2" s="3" t="s">
        <v>39</v>
      </c>
      <c r="U2" s="3" t="s">
        <v>39</v>
      </c>
      <c r="V2" s="3" t="s">
        <v>39</v>
      </c>
    </row>
    <row r="3" spans="1:24" ht="14.25" x14ac:dyDescent="0.15">
      <c r="A3" s="4" t="s">
        <v>39</v>
      </c>
      <c r="B3" s="4" t="s">
        <v>41</v>
      </c>
      <c r="C3" s="5" t="s">
        <v>42</v>
      </c>
      <c r="D3" s="5" t="s">
        <v>42</v>
      </c>
      <c r="E3" s="5" t="s">
        <v>42</v>
      </c>
      <c r="F3" s="5" t="s">
        <v>42</v>
      </c>
      <c r="G3" s="5" t="s">
        <v>42</v>
      </c>
      <c r="H3" s="5" t="s">
        <v>42</v>
      </c>
      <c r="I3" s="5" t="s">
        <v>42</v>
      </c>
      <c r="J3" s="5" t="s">
        <v>41</v>
      </c>
      <c r="K3" s="5" t="s">
        <v>41</v>
      </c>
      <c r="L3" s="5" t="s">
        <v>41</v>
      </c>
      <c r="M3" s="5" t="s">
        <v>41</v>
      </c>
      <c r="N3" s="5" t="s">
        <v>41</v>
      </c>
      <c r="O3" s="5" t="s">
        <v>42</v>
      </c>
      <c r="P3" s="5" t="s">
        <v>41</v>
      </c>
      <c r="Q3" s="5" t="s">
        <v>41</v>
      </c>
      <c r="R3" s="5" t="s">
        <v>41</v>
      </c>
      <c r="S3" s="5" t="s">
        <v>42</v>
      </c>
      <c r="T3" s="5" t="s">
        <v>41</v>
      </c>
      <c r="U3" s="5" t="s">
        <v>981</v>
      </c>
      <c r="V3" s="5" t="s">
        <v>989</v>
      </c>
    </row>
    <row r="4" spans="1:24" ht="14.25" x14ac:dyDescent="0.15">
      <c r="A4" s="4"/>
      <c r="B4" s="4" t="s">
        <v>43</v>
      </c>
      <c r="C4" s="4" t="s">
        <v>188</v>
      </c>
      <c r="D4" s="4" t="s">
        <v>44</v>
      </c>
      <c r="E4" s="4" t="s">
        <v>189</v>
      </c>
      <c r="F4" s="4" t="s">
        <v>190</v>
      </c>
      <c r="G4" s="4" t="s">
        <v>191</v>
      </c>
      <c r="H4" s="4" t="s">
        <v>192</v>
      </c>
      <c r="I4" s="4" t="s">
        <v>193</v>
      </c>
      <c r="J4" s="5" t="s">
        <v>194</v>
      </c>
      <c r="K4" s="5" t="s">
        <v>195</v>
      </c>
      <c r="L4" s="5" t="s">
        <v>196</v>
      </c>
      <c r="M4" s="5" t="s">
        <v>197</v>
      </c>
      <c r="N4" s="5" t="s">
        <v>198</v>
      </c>
      <c r="O4" s="5" t="s">
        <v>199</v>
      </c>
      <c r="P4" s="5" t="s">
        <v>200</v>
      </c>
      <c r="Q4" s="5" t="s">
        <v>201</v>
      </c>
      <c r="R4" s="5" t="s">
        <v>202</v>
      </c>
      <c r="S4" s="39" t="s">
        <v>870</v>
      </c>
      <c r="T4" s="5" t="s">
        <v>204</v>
      </c>
      <c r="U4" s="5" t="s">
        <v>982</v>
      </c>
      <c r="V4" s="5" t="s">
        <v>990</v>
      </c>
    </row>
    <row r="5" spans="1:24" ht="14.25" x14ac:dyDescent="0.15">
      <c r="A5" s="4"/>
      <c r="B5" s="4" t="str">
        <f>IF(B3="","",IF(B3="INT","i",IF(B3="FLOAT","f",IF(B3="STRING","s"))))</f>
        <v>i</v>
      </c>
      <c r="C5" s="5" t="s">
        <v>68</v>
      </c>
      <c r="D5" s="5" t="s">
        <v>68</v>
      </c>
      <c r="E5" s="5" t="s">
        <v>68</v>
      </c>
      <c r="F5" s="5" t="s">
        <v>68</v>
      </c>
      <c r="G5" s="5" t="s">
        <v>68</v>
      </c>
      <c r="H5" s="5" t="s">
        <v>68</v>
      </c>
      <c r="I5" s="5" t="s">
        <v>68</v>
      </c>
      <c r="J5" s="5" t="s">
        <v>67</v>
      </c>
      <c r="K5" s="5" t="s">
        <v>67</v>
      </c>
      <c r="L5" s="5" t="s">
        <v>67</v>
      </c>
      <c r="M5" s="5" t="s">
        <v>67</v>
      </c>
      <c r="N5" s="5" t="s">
        <v>67</v>
      </c>
      <c r="O5" s="5" t="s">
        <v>68</v>
      </c>
      <c r="P5" s="5" t="s">
        <v>67</v>
      </c>
      <c r="Q5" s="5" t="s">
        <v>67</v>
      </c>
      <c r="R5" s="5" t="s">
        <v>67</v>
      </c>
      <c r="S5" s="5" t="s">
        <v>68</v>
      </c>
      <c r="T5" s="5" t="s">
        <v>67</v>
      </c>
      <c r="U5" s="5" t="s">
        <v>67</v>
      </c>
      <c r="V5" s="5" t="s">
        <v>67</v>
      </c>
    </row>
    <row r="6" spans="1:24" ht="14.25" x14ac:dyDescent="0.15">
      <c r="A6" s="4" t="s">
        <v>39</v>
      </c>
      <c r="B6" s="4" t="str">
        <f t="shared" ref="B6:E6" si="0">B5&amp;B4</f>
        <v>iID</v>
      </c>
      <c r="C6" s="5" t="str">
        <f t="shared" si="0"/>
        <v>sRoomID</v>
      </c>
      <c r="D6" s="5" t="str">
        <f t="shared" si="0"/>
        <v>sNotes</v>
      </c>
      <c r="E6" s="5" t="str">
        <f t="shared" si="0"/>
        <v>sAttributes</v>
      </c>
      <c r="F6" s="5" t="str">
        <f t="shared" ref="F6:Q6" si="1">F5&amp;F4</f>
        <v>sMapAttributes</v>
      </c>
      <c r="G6" s="5" t="str">
        <f t="shared" si="1"/>
        <v>sStandardDefence</v>
      </c>
      <c r="H6" s="5" t="str">
        <f t="shared" si="1"/>
        <v>sRoomIDs</v>
      </c>
      <c r="I6" s="5" t="str">
        <f t="shared" si="1"/>
        <v>sRoomIDs1</v>
      </c>
      <c r="J6" s="5" t="str">
        <f t="shared" si="1"/>
        <v>iCheatValue</v>
      </c>
      <c r="K6" s="5" t="str">
        <f t="shared" si="1"/>
        <v>iBattleValue</v>
      </c>
      <c r="L6" s="5" t="str">
        <f t="shared" si="1"/>
        <v>iGoldAdd</v>
      </c>
      <c r="M6" s="5" t="str">
        <f t="shared" si="1"/>
        <v>iExpAdd</v>
      </c>
      <c r="N6" s="5" t="str">
        <f t="shared" si="1"/>
        <v>iAwardHero</v>
      </c>
      <c r="O6" s="5" t="str">
        <f t="shared" si="1"/>
        <v>sOutPut</v>
      </c>
      <c r="P6" s="5" t="str">
        <f t="shared" si="1"/>
        <v>iDropCount</v>
      </c>
      <c r="Q6" s="5" t="str">
        <f t="shared" si="1"/>
        <v>iCatchTime</v>
      </c>
      <c r="R6" s="5" t="str">
        <f t="shared" ref="R6:V6" si="2">R5&amp;R4</f>
        <v>iCatchProb</v>
      </c>
      <c r="S6" s="5" t="str">
        <f t="shared" si="2"/>
        <v>sFirstOutPut</v>
      </c>
      <c r="T6" s="5" t="str">
        <f t="shared" si="2"/>
        <v>iFirstExpAdd</v>
      </c>
      <c r="U6" s="5" t="str">
        <f t="shared" si="2"/>
        <v>iFirstGoldAdd</v>
      </c>
      <c r="V6" s="5" t="str">
        <f t="shared" si="2"/>
        <v>iMonsLv</v>
      </c>
    </row>
    <row r="7" spans="1:24" ht="14.25" x14ac:dyDescent="0.15">
      <c r="A7" s="4"/>
      <c r="B7" s="4" t="s">
        <v>206</v>
      </c>
      <c r="C7" s="6" t="s">
        <v>207</v>
      </c>
      <c r="D7" s="6" t="s">
        <v>208</v>
      </c>
      <c r="E7" s="6" t="s">
        <v>209</v>
      </c>
      <c r="F7" s="6" t="s">
        <v>210</v>
      </c>
      <c r="G7" s="6"/>
      <c r="H7" s="6" t="s">
        <v>211</v>
      </c>
      <c r="I7" s="6" t="s">
        <v>212</v>
      </c>
      <c r="J7" s="6" t="s">
        <v>213</v>
      </c>
      <c r="K7" s="6" t="s">
        <v>214</v>
      </c>
      <c r="L7" s="6" t="s">
        <v>215</v>
      </c>
      <c r="M7" s="6" t="s">
        <v>216</v>
      </c>
      <c r="N7" s="6" t="s">
        <v>217</v>
      </c>
      <c r="O7" s="6" t="s">
        <v>218</v>
      </c>
      <c r="P7" s="6" t="s">
        <v>219</v>
      </c>
      <c r="Q7" s="6" t="s">
        <v>220</v>
      </c>
      <c r="R7" s="6" t="s">
        <v>221</v>
      </c>
      <c r="S7" s="6" t="s">
        <v>222</v>
      </c>
      <c r="T7" s="6" t="s">
        <v>223</v>
      </c>
      <c r="U7" s="6" t="s">
        <v>984</v>
      </c>
      <c r="V7" s="6" t="s">
        <v>991</v>
      </c>
    </row>
    <row r="8" spans="1:24" ht="14.25" x14ac:dyDescent="0.15">
      <c r="A8" s="4" t="s">
        <v>78</v>
      </c>
      <c r="B8" s="4">
        <v>0</v>
      </c>
      <c r="C8" s="6">
        <v>0</v>
      </c>
      <c r="D8" s="6"/>
      <c r="E8" s="6"/>
      <c r="F8" s="6"/>
      <c r="G8" s="6"/>
      <c r="H8" s="6"/>
      <c r="I8" s="6"/>
      <c r="J8" s="6">
        <v>10000</v>
      </c>
      <c r="K8" s="6">
        <v>10000</v>
      </c>
      <c r="L8" s="6">
        <v>0</v>
      </c>
      <c r="M8" s="6">
        <v>0</v>
      </c>
      <c r="N8" s="6"/>
      <c r="O8" s="6"/>
      <c r="P8" s="6">
        <v>0</v>
      </c>
      <c r="Q8" s="6">
        <v>0</v>
      </c>
      <c r="R8" s="6">
        <v>0</v>
      </c>
      <c r="S8" s="6"/>
      <c r="T8" s="6">
        <v>0</v>
      </c>
      <c r="U8" s="6">
        <v>0</v>
      </c>
      <c r="V8" s="6">
        <v>1</v>
      </c>
    </row>
    <row r="9" spans="1:24" ht="14.25" x14ac:dyDescent="0.15">
      <c r="A9" s="7"/>
      <c r="B9" s="7"/>
      <c r="C9" s="8"/>
      <c r="D9" s="8"/>
      <c r="E9" s="9"/>
      <c r="F9" s="8"/>
      <c r="G9" s="8">
        <v>0</v>
      </c>
      <c r="H9" s="8"/>
      <c r="I9" s="8"/>
      <c r="J9" s="8" t="s">
        <v>224</v>
      </c>
      <c r="K9" s="8" t="s">
        <v>224</v>
      </c>
      <c r="L9" s="8"/>
      <c r="M9" s="8"/>
      <c r="N9" s="8"/>
      <c r="O9" s="8" t="s">
        <v>374</v>
      </c>
      <c r="P9" s="8"/>
      <c r="Q9" s="8" t="s">
        <v>284</v>
      </c>
      <c r="R9" s="8" t="s">
        <v>227</v>
      </c>
      <c r="S9" s="8" t="s">
        <v>225</v>
      </c>
      <c r="T9" s="8"/>
    </row>
    <row r="10" spans="1:24" ht="16.5" x14ac:dyDescent="0.35">
      <c r="A10" s="1" t="s">
        <v>39</v>
      </c>
      <c r="B10" s="10">
        <v>1</v>
      </c>
      <c r="C10" s="11" t="s">
        <v>375</v>
      </c>
      <c r="D10" s="12"/>
      <c r="E10" s="14" t="s">
        <v>1039</v>
      </c>
      <c r="F10" s="11" t="s">
        <v>376</v>
      </c>
      <c r="G10" s="11" t="s">
        <v>86</v>
      </c>
      <c r="H10" s="11" t="s">
        <v>985</v>
      </c>
      <c r="I10" s="12"/>
      <c r="L10" s="21">
        <v>17</v>
      </c>
      <c r="M10" s="21">
        <v>17</v>
      </c>
      <c r="O10" s="40" t="s">
        <v>1110</v>
      </c>
      <c r="P10" s="21">
        <v>5</v>
      </c>
      <c r="Q10" s="21"/>
      <c r="R10" s="21"/>
      <c r="S10" s="40" t="s">
        <v>1110</v>
      </c>
      <c r="T10" s="21">
        <v>17</v>
      </c>
      <c r="U10" s="21">
        <v>17</v>
      </c>
      <c r="V10">
        <v>21</v>
      </c>
    </row>
    <row r="11" spans="1:24" ht="24" x14ac:dyDescent="0.35">
      <c r="A11" s="1" t="s">
        <v>39</v>
      </c>
      <c r="B11" s="10">
        <v>2</v>
      </c>
      <c r="C11" s="11" t="s">
        <v>377</v>
      </c>
      <c r="D11" s="12"/>
      <c r="E11" s="14" t="s">
        <v>1039</v>
      </c>
      <c r="F11" s="11" t="s">
        <v>376</v>
      </c>
      <c r="G11" s="11" t="s">
        <v>86</v>
      </c>
      <c r="H11" s="11" t="s">
        <v>921</v>
      </c>
      <c r="I11" s="12"/>
      <c r="L11" s="21"/>
      <c r="M11" s="21"/>
      <c r="P11" s="21"/>
      <c r="Q11" s="21"/>
      <c r="R11" s="21"/>
      <c r="T11" s="21"/>
      <c r="U11" s="21"/>
      <c r="V11">
        <v>21</v>
      </c>
    </row>
    <row r="12" spans="1:24" ht="16.5" x14ac:dyDescent="0.35">
      <c r="A12" s="1" t="s">
        <v>39</v>
      </c>
      <c r="B12" s="10">
        <v>3</v>
      </c>
      <c r="C12" s="11" t="s">
        <v>378</v>
      </c>
      <c r="D12" s="12"/>
      <c r="E12" s="14" t="s">
        <v>1040</v>
      </c>
      <c r="F12" s="11" t="s">
        <v>376</v>
      </c>
      <c r="G12" s="11" t="s">
        <v>86</v>
      </c>
      <c r="H12" s="11" t="s">
        <v>977</v>
      </c>
      <c r="I12" s="12"/>
      <c r="L12" s="21">
        <v>17</v>
      </c>
      <c r="M12" s="21">
        <v>17</v>
      </c>
      <c r="O12" s="40" t="s">
        <v>1110</v>
      </c>
      <c r="P12" s="21">
        <v>5</v>
      </c>
      <c r="Q12" s="21"/>
      <c r="R12" s="21"/>
      <c r="S12" s="40" t="s">
        <v>1110</v>
      </c>
      <c r="T12" s="21">
        <v>17</v>
      </c>
      <c r="U12" s="21">
        <v>17</v>
      </c>
      <c r="V12">
        <f>V10+1</f>
        <v>22</v>
      </c>
    </row>
    <row r="13" spans="1:24" ht="24" x14ac:dyDescent="0.35">
      <c r="A13" s="1" t="s">
        <v>39</v>
      </c>
      <c r="B13" s="10">
        <v>4</v>
      </c>
      <c r="C13" s="11" t="s">
        <v>379</v>
      </c>
      <c r="D13" s="12"/>
      <c r="E13" s="14" t="s">
        <v>1040</v>
      </c>
      <c r="F13" s="11" t="s">
        <v>376</v>
      </c>
      <c r="G13" s="11" t="s">
        <v>86</v>
      </c>
      <c r="H13" s="11" t="s">
        <v>921</v>
      </c>
      <c r="I13" s="12"/>
      <c r="L13" s="21"/>
      <c r="M13" s="21"/>
      <c r="P13" s="21"/>
      <c r="Q13" s="21"/>
      <c r="R13" s="21"/>
      <c r="T13" s="21"/>
      <c r="U13" s="21"/>
      <c r="V13">
        <f t="shared" ref="V13:V29" si="3">V11+1</f>
        <v>22</v>
      </c>
      <c r="X13" s="21"/>
    </row>
    <row r="14" spans="1:24" s="23" customFormat="1" ht="16.5" x14ac:dyDescent="0.35">
      <c r="A14" s="24" t="s">
        <v>39</v>
      </c>
      <c r="B14" s="27">
        <v>5</v>
      </c>
      <c r="C14" s="20" t="s">
        <v>380</v>
      </c>
      <c r="D14" s="28"/>
      <c r="E14" s="19" t="s">
        <v>1047</v>
      </c>
      <c r="F14" s="20" t="s">
        <v>376</v>
      </c>
      <c r="G14" s="20" t="s">
        <v>86</v>
      </c>
      <c r="H14" s="19" t="s">
        <v>1134</v>
      </c>
      <c r="I14" s="28"/>
      <c r="K14" s="24"/>
      <c r="L14" s="22">
        <v>67</v>
      </c>
      <c r="M14" s="22">
        <v>67</v>
      </c>
      <c r="O14" s="23" t="s">
        <v>1111</v>
      </c>
      <c r="P14" s="22">
        <v>1</v>
      </c>
      <c r="Q14" s="22">
        <v>30</v>
      </c>
      <c r="R14" s="22">
        <v>6000</v>
      </c>
      <c r="S14" s="23" t="s">
        <v>1111</v>
      </c>
      <c r="T14" s="22">
        <v>67</v>
      </c>
      <c r="U14" s="22">
        <v>67</v>
      </c>
      <c r="V14">
        <f t="shared" si="3"/>
        <v>23</v>
      </c>
      <c r="W14" s="21"/>
      <c r="X14" s="21"/>
    </row>
    <row r="15" spans="1:24" ht="16.5" x14ac:dyDescent="0.35">
      <c r="A15" s="1" t="s">
        <v>39</v>
      </c>
      <c r="B15" s="10">
        <v>6</v>
      </c>
      <c r="C15" s="11" t="s">
        <v>381</v>
      </c>
      <c r="D15" s="12"/>
      <c r="E15" s="14" t="s">
        <v>1048</v>
      </c>
      <c r="F15" s="11" t="s">
        <v>376</v>
      </c>
      <c r="G15" s="11" t="s">
        <v>86</v>
      </c>
      <c r="H15" s="11" t="s">
        <v>978</v>
      </c>
      <c r="I15" s="12"/>
      <c r="L15" s="21">
        <v>17</v>
      </c>
      <c r="M15" s="21">
        <v>17</v>
      </c>
      <c r="O15" s="40" t="s">
        <v>1110</v>
      </c>
      <c r="P15" s="21">
        <v>5</v>
      </c>
      <c r="Q15" s="21"/>
      <c r="R15" s="21"/>
      <c r="S15" s="40" t="s">
        <v>1110</v>
      </c>
      <c r="T15" s="21">
        <v>17</v>
      </c>
      <c r="U15" s="21">
        <v>17</v>
      </c>
      <c r="V15">
        <f t="shared" si="3"/>
        <v>23</v>
      </c>
      <c r="W15" s="21"/>
      <c r="X15" s="21"/>
    </row>
    <row r="16" spans="1:24" ht="24" x14ac:dyDescent="0.35">
      <c r="A16" s="1" t="s">
        <v>39</v>
      </c>
      <c r="B16" s="10">
        <v>7</v>
      </c>
      <c r="C16" s="11" t="s">
        <v>382</v>
      </c>
      <c r="D16" s="12"/>
      <c r="E16" s="14" t="s">
        <v>1048</v>
      </c>
      <c r="F16" s="11" t="s">
        <v>383</v>
      </c>
      <c r="G16" s="11" t="s">
        <v>86</v>
      </c>
      <c r="H16" s="11" t="s">
        <v>921</v>
      </c>
      <c r="I16" s="12"/>
      <c r="L16" s="21"/>
      <c r="M16" s="21"/>
      <c r="P16" s="21"/>
      <c r="Q16" s="21"/>
      <c r="R16" s="21"/>
      <c r="T16" s="21"/>
      <c r="U16" s="21"/>
      <c r="V16">
        <f t="shared" si="3"/>
        <v>24</v>
      </c>
      <c r="W16" s="21"/>
      <c r="X16" s="21"/>
    </row>
    <row r="17" spans="1:24" ht="16.5" x14ac:dyDescent="0.35">
      <c r="A17" s="1" t="s">
        <v>39</v>
      </c>
      <c r="B17" s="10">
        <v>8</v>
      </c>
      <c r="C17" s="11" t="s">
        <v>384</v>
      </c>
      <c r="D17" s="12"/>
      <c r="E17" s="14" t="s">
        <v>1049</v>
      </c>
      <c r="F17" s="11" t="s">
        <v>383</v>
      </c>
      <c r="G17" s="11" t="s">
        <v>86</v>
      </c>
      <c r="H17" s="11" t="s">
        <v>978</v>
      </c>
      <c r="I17" s="12"/>
      <c r="L17" s="21">
        <v>17</v>
      </c>
      <c r="M17" s="21">
        <v>17</v>
      </c>
      <c r="O17" s="40" t="s">
        <v>1110</v>
      </c>
      <c r="P17" s="21">
        <v>5</v>
      </c>
      <c r="Q17" s="21"/>
      <c r="R17" s="21"/>
      <c r="S17" s="40" t="s">
        <v>1110</v>
      </c>
      <c r="T17" s="21">
        <v>17</v>
      </c>
      <c r="U17" s="21">
        <v>17</v>
      </c>
      <c r="V17">
        <f t="shared" si="3"/>
        <v>24</v>
      </c>
      <c r="W17" s="21"/>
      <c r="X17" s="22"/>
    </row>
    <row r="18" spans="1:24" ht="24" x14ac:dyDescent="0.35">
      <c r="A18" s="1" t="s">
        <v>39</v>
      </c>
      <c r="B18" s="10">
        <v>9</v>
      </c>
      <c r="C18" s="11" t="s">
        <v>385</v>
      </c>
      <c r="D18" s="12"/>
      <c r="E18" s="14" t="s">
        <v>1049</v>
      </c>
      <c r="F18" s="11" t="s">
        <v>383</v>
      </c>
      <c r="G18" s="11" t="s">
        <v>86</v>
      </c>
      <c r="H18" s="11" t="s">
        <v>921</v>
      </c>
      <c r="I18" s="12"/>
      <c r="L18" s="21"/>
      <c r="M18" s="21"/>
      <c r="P18" s="21"/>
      <c r="Q18" s="21"/>
      <c r="R18" s="21"/>
      <c r="T18" s="21"/>
      <c r="U18" s="21"/>
      <c r="V18">
        <f t="shared" si="3"/>
        <v>25</v>
      </c>
      <c r="W18" s="22"/>
      <c r="X18" s="21"/>
    </row>
    <row r="19" spans="1:24" s="23" customFormat="1" ht="16.5" x14ac:dyDescent="0.35">
      <c r="A19" s="24" t="s">
        <v>39</v>
      </c>
      <c r="B19" s="27">
        <v>10</v>
      </c>
      <c r="C19" s="20" t="s">
        <v>386</v>
      </c>
      <c r="D19" s="28"/>
      <c r="E19" s="19" t="s">
        <v>1050</v>
      </c>
      <c r="F19" s="20" t="s">
        <v>383</v>
      </c>
      <c r="G19" s="20" t="s">
        <v>86</v>
      </c>
      <c r="H19" s="19" t="s">
        <v>1135</v>
      </c>
      <c r="I19" s="28"/>
      <c r="K19" s="24"/>
      <c r="L19" s="22">
        <v>67</v>
      </c>
      <c r="M19" s="22">
        <v>67</v>
      </c>
      <c r="O19" s="23" t="s">
        <v>1112</v>
      </c>
      <c r="P19" s="22">
        <v>1</v>
      </c>
      <c r="Q19" s="22">
        <v>30</v>
      </c>
      <c r="R19" s="22">
        <v>6000</v>
      </c>
      <c r="S19" s="23" t="s">
        <v>1112</v>
      </c>
      <c r="T19" s="22">
        <v>67</v>
      </c>
      <c r="U19" s="22">
        <v>67</v>
      </c>
      <c r="V19">
        <f t="shared" si="3"/>
        <v>25</v>
      </c>
      <c r="W19" s="21"/>
      <c r="X19" s="21"/>
    </row>
    <row r="20" spans="1:24" ht="16.5" x14ac:dyDescent="0.35">
      <c r="A20" s="1" t="s">
        <v>39</v>
      </c>
      <c r="B20" s="10">
        <v>11</v>
      </c>
      <c r="C20" s="11" t="s">
        <v>387</v>
      </c>
      <c r="D20" s="12"/>
      <c r="E20" s="14" t="s">
        <v>1051</v>
      </c>
      <c r="F20" s="11" t="s">
        <v>383</v>
      </c>
      <c r="G20" s="11" t="s">
        <v>86</v>
      </c>
      <c r="H20" s="11" t="s">
        <v>986</v>
      </c>
      <c r="I20" s="12"/>
      <c r="L20" s="21">
        <v>17</v>
      </c>
      <c r="M20" s="21">
        <v>17</v>
      </c>
      <c r="O20" s="40" t="s">
        <v>1110</v>
      </c>
      <c r="P20" s="21">
        <v>5</v>
      </c>
      <c r="Q20" s="21"/>
      <c r="R20" s="21"/>
      <c r="S20" s="40" t="s">
        <v>1110</v>
      </c>
      <c r="T20" s="21">
        <v>17</v>
      </c>
      <c r="U20" s="21">
        <v>17</v>
      </c>
      <c r="V20">
        <f t="shared" si="3"/>
        <v>26</v>
      </c>
      <c r="W20" s="21"/>
      <c r="X20" s="21"/>
    </row>
    <row r="21" spans="1:24" ht="24" x14ac:dyDescent="0.35">
      <c r="A21" s="1" t="s">
        <v>39</v>
      </c>
      <c r="B21" s="10">
        <v>12</v>
      </c>
      <c r="C21" s="11" t="s">
        <v>388</v>
      </c>
      <c r="D21" s="12"/>
      <c r="E21" s="14" t="s">
        <v>1051</v>
      </c>
      <c r="F21" s="11" t="s">
        <v>383</v>
      </c>
      <c r="G21" s="11" t="s">
        <v>86</v>
      </c>
      <c r="H21" s="11" t="s">
        <v>921</v>
      </c>
      <c r="I21" s="12"/>
      <c r="L21" s="21"/>
      <c r="M21" s="21"/>
      <c r="P21" s="21"/>
      <c r="Q21" s="21"/>
      <c r="R21" s="21"/>
      <c r="T21" s="21"/>
      <c r="U21" s="21"/>
      <c r="V21">
        <f t="shared" si="3"/>
        <v>26</v>
      </c>
      <c r="W21" s="21"/>
      <c r="X21" s="21"/>
    </row>
    <row r="22" spans="1:24" ht="16.5" x14ac:dyDescent="0.35">
      <c r="A22" s="1" t="s">
        <v>39</v>
      </c>
      <c r="B22" s="10">
        <v>13</v>
      </c>
      <c r="C22" s="11" t="s">
        <v>389</v>
      </c>
      <c r="D22" s="12"/>
      <c r="E22" s="14" t="s">
        <v>1052</v>
      </c>
      <c r="F22" s="11" t="s">
        <v>356</v>
      </c>
      <c r="G22" s="11" t="s">
        <v>86</v>
      </c>
      <c r="H22" s="11" t="s">
        <v>986</v>
      </c>
      <c r="I22" s="12"/>
      <c r="L22" s="21">
        <v>17</v>
      </c>
      <c r="M22" s="21">
        <v>17</v>
      </c>
      <c r="O22" s="40" t="s">
        <v>1110</v>
      </c>
      <c r="P22" s="21">
        <v>5</v>
      </c>
      <c r="Q22" s="21"/>
      <c r="R22" s="21"/>
      <c r="S22" s="40" t="s">
        <v>1110</v>
      </c>
      <c r="T22" s="21">
        <v>17</v>
      </c>
      <c r="U22" s="21">
        <v>17</v>
      </c>
      <c r="V22">
        <f t="shared" si="3"/>
        <v>27</v>
      </c>
      <c r="W22" s="21"/>
      <c r="X22" s="22"/>
    </row>
    <row r="23" spans="1:24" ht="24" x14ac:dyDescent="0.35">
      <c r="A23" s="1" t="s">
        <v>39</v>
      </c>
      <c r="B23" s="10">
        <v>14</v>
      </c>
      <c r="C23" s="11" t="s">
        <v>390</v>
      </c>
      <c r="D23" s="12"/>
      <c r="E23" s="14" t="s">
        <v>1052</v>
      </c>
      <c r="F23" s="11" t="s">
        <v>356</v>
      </c>
      <c r="G23" s="11" t="s">
        <v>86</v>
      </c>
      <c r="H23" s="11" t="s">
        <v>921</v>
      </c>
      <c r="I23" s="12"/>
      <c r="L23" s="21"/>
      <c r="M23" s="21"/>
      <c r="P23" s="21"/>
      <c r="Q23" s="21"/>
      <c r="R23" s="21"/>
      <c r="T23" s="21"/>
      <c r="U23" s="21"/>
      <c r="V23">
        <f t="shared" si="3"/>
        <v>27</v>
      </c>
      <c r="W23" s="22"/>
      <c r="X23" s="21"/>
    </row>
    <row r="24" spans="1:24" s="23" customFormat="1" ht="16.5" x14ac:dyDescent="0.35">
      <c r="A24" s="24" t="s">
        <v>39</v>
      </c>
      <c r="B24" s="27">
        <v>15</v>
      </c>
      <c r="C24" s="20" t="s">
        <v>391</v>
      </c>
      <c r="D24" s="28"/>
      <c r="E24" s="19" t="s">
        <v>1053</v>
      </c>
      <c r="F24" s="20" t="s">
        <v>356</v>
      </c>
      <c r="G24" s="20" t="s">
        <v>86</v>
      </c>
      <c r="H24" s="19" t="s">
        <v>1142</v>
      </c>
      <c r="I24" s="20"/>
      <c r="K24" s="24"/>
      <c r="L24" s="22">
        <v>67</v>
      </c>
      <c r="M24" s="22">
        <v>67</v>
      </c>
      <c r="O24" s="23" t="s">
        <v>1112</v>
      </c>
      <c r="P24" s="22">
        <v>1</v>
      </c>
      <c r="Q24" s="22">
        <v>30</v>
      </c>
      <c r="R24" s="22">
        <v>6000</v>
      </c>
      <c r="S24" s="23" t="s">
        <v>1112</v>
      </c>
      <c r="T24" s="22">
        <v>67</v>
      </c>
      <c r="U24" s="22">
        <v>67</v>
      </c>
      <c r="V24">
        <f t="shared" si="3"/>
        <v>28</v>
      </c>
      <c r="W24" s="21"/>
      <c r="X24" s="21"/>
    </row>
    <row r="25" spans="1:24" ht="16.5" x14ac:dyDescent="0.35">
      <c r="A25" s="1" t="s">
        <v>39</v>
      </c>
      <c r="B25" s="10">
        <v>16</v>
      </c>
      <c r="C25" s="11" t="s">
        <v>392</v>
      </c>
      <c r="D25" s="12"/>
      <c r="E25" s="14" t="s">
        <v>1054</v>
      </c>
      <c r="F25" s="11" t="s">
        <v>356</v>
      </c>
      <c r="G25" s="11" t="s">
        <v>86</v>
      </c>
      <c r="H25" s="11" t="s">
        <v>986</v>
      </c>
      <c r="I25" s="12"/>
      <c r="L25" s="21">
        <v>17</v>
      </c>
      <c r="M25" s="21">
        <v>17</v>
      </c>
      <c r="O25" s="40" t="s">
        <v>1110</v>
      </c>
      <c r="P25" s="21">
        <v>5</v>
      </c>
      <c r="Q25" s="21"/>
      <c r="R25" s="21"/>
      <c r="S25" s="40" t="s">
        <v>1110</v>
      </c>
      <c r="T25" s="21">
        <v>17</v>
      </c>
      <c r="U25" s="21">
        <v>17</v>
      </c>
      <c r="V25">
        <f t="shared" si="3"/>
        <v>28</v>
      </c>
      <c r="W25" s="21"/>
      <c r="X25" s="21"/>
    </row>
    <row r="26" spans="1:24" ht="24" x14ac:dyDescent="0.35">
      <c r="A26" s="1" t="s">
        <v>39</v>
      </c>
      <c r="B26" s="10">
        <v>17</v>
      </c>
      <c r="C26" s="11" t="s">
        <v>393</v>
      </c>
      <c r="D26" s="12"/>
      <c r="E26" s="14" t="s">
        <v>1054</v>
      </c>
      <c r="F26" s="11" t="s">
        <v>394</v>
      </c>
      <c r="G26" s="11" t="s">
        <v>86</v>
      </c>
      <c r="H26" s="11" t="s">
        <v>921</v>
      </c>
      <c r="I26" s="12"/>
      <c r="L26" s="21"/>
      <c r="M26" s="21"/>
      <c r="P26" s="21"/>
      <c r="Q26" s="21"/>
      <c r="R26" s="21"/>
      <c r="T26" s="21"/>
      <c r="U26" s="21"/>
      <c r="V26">
        <f t="shared" si="3"/>
        <v>29</v>
      </c>
      <c r="W26" s="21"/>
      <c r="X26" s="21"/>
    </row>
    <row r="27" spans="1:24" ht="16.5" x14ac:dyDescent="0.35">
      <c r="A27" s="1" t="s">
        <v>39</v>
      </c>
      <c r="B27" s="10">
        <v>18</v>
      </c>
      <c r="C27" s="11" t="s">
        <v>395</v>
      </c>
      <c r="D27" s="12"/>
      <c r="E27" s="14" t="s">
        <v>1055</v>
      </c>
      <c r="F27" s="11" t="s">
        <v>394</v>
      </c>
      <c r="G27" s="11" t="s">
        <v>86</v>
      </c>
      <c r="H27" s="11" t="s">
        <v>987</v>
      </c>
      <c r="I27" s="12"/>
      <c r="L27" s="21">
        <v>17</v>
      </c>
      <c r="M27" s="21">
        <v>17</v>
      </c>
      <c r="O27" s="40" t="s">
        <v>1110</v>
      </c>
      <c r="P27" s="21">
        <v>5</v>
      </c>
      <c r="Q27" s="21"/>
      <c r="R27" s="21"/>
      <c r="S27" s="40" t="s">
        <v>1110</v>
      </c>
      <c r="T27" s="21">
        <v>17</v>
      </c>
      <c r="U27" s="21">
        <v>17</v>
      </c>
      <c r="V27">
        <f t="shared" si="3"/>
        <v>29</v>
      </c>
      <c r="W27" s="21"/>
      <c r="X27" s="22"/>
    </row>
    <row r="28" spans="1:24" ht="24" x14ac:dyDescent="0.35">
      <c r="A28" s="1" t="s">
        <v>39</v>
      </c>
      <c r="B28" s="10">
        <v>19</v>
      </c>
      <c r="C28" s="11" t="s">
        <v>396</v>
      </c>
      <c r="D28" s="12"/>
      <c r="E28" s="14" t="s">
        <v>1055</v>
      </c>
      <c r="F28" s="11" t="s">
        <v>394</v>
      </c>
      <c r="G28" s="11" t="s">
        <v>86</v>
      </c>
      <c r="H28" s="11" t="s">
        <v>921</v>
      </c>
      <c r="I28" s="12"/>
      <c r="L28" s="21"/>
      <c r="M28" s="21"/>
      <c r="P28" s="21"/>
      <c r="Q28" s="21"/>
      <c r="R28" s="21"/>
      <c r="T28" s="21"/>
      <c r="U28" s="21"/>
      <c r="V28">
        <f t="shared" si="3"/>
        <v>30</v>
      </c>
      <c r="W28" s="22"/>
      <c r="X28" s="21"/>
    </row>
    <row r="29" spans="1:24" s="23" customFormat="1" ht="16.5" x14ac:dyDescent="0.35">
      <c r="A29" s="24" t="s">
        <v>39</v>
      </c>
      <c r="B29" s="27">
        <v>20</v>
      </c>
      <c r="C29" s="20" t="s">
        <v>397</v>
      </c>
      <c r="D29" s="28"/>
      <c r="E29" s="19" t="s">
        <v>1056</v>
      </c>
      <c r="F29" s="20" t="s">
        <v>398</v>
      </c>
      <c r="G29" s="20" t="s">
        <v>86</v>
      </c>
      <c r="H29" s="20" t="s">
        <v>1101</v>
      </c>
      <c r="I29" s="20"/>
      <c r="K29" s="24"/>
      <c r="L29" s="22">
        <v>67</v>
      </c>
      <c r="M29" s="22">
        <v>67</v>
      </c>
      <c r="O29" s="23" t="s">
        <v>1112</v>
      </c>
      <c r="P29" s="22">
        <v>1</v>
      </c>
      <c r="Q29" s="22">
        <v>15</v>
      </c>
      <c r="R29" s="22">
        <v>6000</v>
      </c>
      <c r="S29" s="23" t="s">
        <v>1112</v>
      </c>
      <c r="T29" s="22">
        <v>67</v>
      </c>
      <c r="U29" s="22">
        <v>67</v>
      </c>
      <c r="V29">
        <f t="shared" si="3"/>
        <v>30</v>
      </c>
      <c r="W29" s="21"/>
      <c r="X29" s="21"/>
    </row>
    <row r="30" spans="1:24" ht="16.5" x14ac:dyDescent="0.35">
      <c r="A30" s="1"/>
      <c r="B30" s="10"/>
      <c r="C30" s="11"/>
      <c r="D30" s="12"/>
      <c r="E30" s="11"/>
      <c r="F30" s="11"/>
      <c r="G30" s="11"/>
      <c r="H30" s="11"/>
      <c r="I30" s="11"/>
      <c r="R30" s="21"/>
      <c r="W30" s="21"/>
      <c r="X30" s="21"/>
    </row>
    <row r="31" spans="1:24" ht="16.5" x14ac:dyDescent="0.35">
      <c r="A31" s="1"/>
      <c r="B31" s="10"/>
      <c r="C31" s="11"/>
      <c r="D31" s="12"/>
      <c r="E31" s="11"/>
      <c r="F31" s="11"/>
      <c r="G31" s="11"/>
      <c r="H31" s="11"/>
      <c r="I31" s="12"/>
      <c r="R31" s="21"/>
      <c r="W31" s="21"/>
      <c r="X31" s="21"/>
    </row>
    <row r="32" spans="1:24" ht="16.5" x14ac:dyDescent="0.35">
      <c r="A32" s="1"/>
      <c r="B32" s="10"/>
      <c r="C32" s="11"/>
      <c r="D32" s="12"/>
      <c r="E32" s="11"/>
      <c r="F32" s="11"/>
      <c r="G32" s="11"/>
      <c r="H32" s="11"/>
      <c r="I32" s="11"/>
      <c r="R32" s="21"/>
      <c r="W32" s="21"/>
      <c r="X32" s="22"/>
    </row>
    <row r="33" spans="1:23" ht="16.5" x14ac:dyDescent="0.35">
      <c r="A33" s="1"/>
      <c r="B33" s="10"/>
      <c r="C33" s="11"/>
      <c r="D33" s="12"/>
      <c r="E33" s="11"/>
      <c r="F33" s="11"/>
      <c r="G33" s="11"/>
      <c r="H33" s="11"/>
      <c r="I33" s="12"/>
      <c r="R33" s="22"/>
      <c r="W33" s="22"/>
    </row>
    <row r="34" spans="1:23" x14ac:dyDescent="0.15">
      <c r="A34" s="1"/>
      <c r="B34" s="10"/>
      <c r="C34" s="11"/>
      <c r="D34" s="12"/>
      <c r="E34" s="11"/>
      <c r="F34" s="11"/>
      <c r="G34" s="11"/>
      <c r="H34" s="11"/>
      <c r="I34" s="12"/>
    </row>
    <row r="35" spans="1:23" x14ac:dyDescent="0.15">
      <c r="A35" s="1"/>
      <c r="B35" s="10"/>
      <c r="C35" s="11"/>
      <c r="D35" s="12"/>
      <c r="E35" s="11"/>
      <c r="F35" s="11"/>
      <c r="G35" s="11"/>
      <c r="H35" s="11"/>
      <c r="I35" s="12"/>
    </row>
    <row r="36" spans="1:23" x14ac:dyDescent="0.15">
      <c r="A36" s="1"/>
      <c r="B36" s="10"/>
      <c r="C36" s="11"/>
      <c r="D36" s="12"/>
      <c r="E36" s="11"/>
      <c r="F36" s="11"/>
      <c r="G36" s="11"/>
      <c r="H36" s="11"/>
      <c r="I36" s="12"/>
    </row>
    <row r="37" spans="1:23" x14ac:dyDescent="0.15">
      <c r="A37" s="1"/>
      <c r="B37" s="10"/>
      <c r="C37" s="11"/>
      <c r="D37" s="12"/>
      <c r="E37" s="11"/>
      <c r="F37" s="11"/>
      <c r="G37" s="11"/>
      <c r="H37" s="11"/>
      <c r="I37" s="12"/>
    </row>
    <row r="38" spans="1:23" x14ac:dyDescent="0.15">
      <c r="A38" s="1"/>
      <c r="B38" s="10"/>
      <c r="C38" s="11"/>
      <c r="D38" s="12"/>
      <c r="E38" s="11"/>
      <c r="F38" s="11"/>
      <c r="G38" s="11"/>
      <c r="H38" s="11"/>
      <c r="I38" s="12"/>
    </row>
    <row r="39" spans="1:23" x14ac:dyDescent="0.15">
      <c r="A39" s="1"/>
      <c r="B39" s="10"/>
      <c r="C39" s="11"/>
      <c r="D39" s="12"/>
      <c r="E39" s="11"/>
      <c r="F39" s="11"/>
      <c r="G39" s="11"/>
      <c r="H39" s="11"/>
      <c r="I39" s="12"/>
    </row>
    <row r="40" spans="1:23" x14ac:dyDescent="0.15">
      <c r="A40" s="1"/>
      <c r="B40" s="10"/>
      <c r="C40" s="11"/>
      <c r="D40" s="12"/>
      <c r="E40" s="11"/>
      <c r="F40" s="11"/>
      <c r="G40" s="11"/>
      <c r="H40" s="11"/>
      <c r="I40" s="12"/>
    </row>
    <row r="41" spans="1:23" x14ac:dyDescent="0.15">
      <c r="A41" s="1"/>
      <c r="B41" s="10"/>
      <c r="C41" s="11"/>
      <c r="D41" s="12"/>
      <c r="E41" s="11"/>
      <c r="F41" s="11"/>
      <c r="G41" s="11"/>
      <c r="H41" s="11"/>
      <c r="I41" s="12"/>
    </row>
    <row r="42" spans="1:23" x14ac:dyDescent="0.15">
      <c r="A42" s="1"/>
      <c r="B42" s="10"/>
      <c r="C42" s="11"/>
      <c r="D42" s="12"/>
      <c r="E42" s="11"/>
      <c r="F42" s="11"/>
      <c r="G42" s="11"/>
      <c r="H42" s="11"/>
      <c r="I42" s="12"/>
    </row>
    <row r="43" spans="1:23" x14ac:dyDescent="0.15">
      <c r="A43" s="1"/>
      <c r="B43" s="10"/>
      <c r="C43" s="11"/>
      <c r="D43" s="12"/>
      <c r="E43" s="11"/>
      <c r="F43" s="11"/>
      <c r="G43" s="11"/>
      <c r="H43" s="11"/>
      <c r="I43" s="12"/>
    </row>
    <row r="44" spans="1:23" x14ac:dyDescent="0.15">
      <c r="A44" s="1"/>
      <c r="B44" s="10"/>
      <c r="C44" s="11"/>
      <c r="D44" s="12"/>
      <c r="E44" s="11"/>
      <c r="F44" s="11"/>
      <c r="G44" s="11"/>
      <c r="H44" s="11"/>
      <c r="I44" s="12"/>
    </row>
    <row r="45" spans="1:23" x14ac:dyDescent="0.15">
      <c r="A45" s="1"/>
      <c r="B45" s="10"/>
      <c r="C45" s="11"/>
      <c r="D45" s="12"/>
      <c r="E45" s="11"/>
      <c r="F45" s="11"/>
      <c r="G45" s="11"/>
      <c r="H45" s="11"/>
      <c r="I45" s="12"/>
    </row>
    <row r="46" spans="1:23" x14ac:dyDescent="0.15">
      <c r="A46" s="1"/>
      <c r="B46" s="10"/>
      <c r="C46" s="11"/>
      <c r="D46" s="12"/>
      <c r="E46" s="11"/>
      <c r="F46" s="11"/>
      <c r="G46" s="11"/>
      <c r="H46" s="11"/>
      <c r="I46" s="12"/>
    </row>
    <row r="47" spans="1:23" x14ac:dyDescent="0.15">
      <c r="A47" s="1"/>
      <c r="B47" s="10"/>
      <c r="C47" s="11"/>
      <c r="D47" s="12"/>
      <c r="E47" s="11"/>
      <c r="F47" s="11"/>
      <c r="G47" s="11"/>
      <c r="H47" s="11"/>
      <c r="I47" s="12"/>
    </row>
    <row r="48" spans="1:23" x14ac:dyDescent="0.15">
      <c r="A48" s="1"/>
      <c r="B48" s="10"/>
      <c r="C48" s="11"/>
      <c r="D48" s="12"/>
      <c r="E48" s="11"/>
      <c r="F48" s="11"/>
      <c r="G48" s="11"/>
      <c r="H48" s="11"/>
      <c r="I48" s="12"/>
    </row>
    <row r="49" spans="1:9" x14ac:dyDescent="0.15">
      <c r="A49" s="1"/>
      <c r="B49" s="10"/>
      <c r="C49" s="11"/>
      <c r="D49" s="12"/>
      <c r="E49" s="11"/>
      <c r="F49" s="11"/>
      <c r="G49" s="11"/>
      <c r="H49" s="11"/>
      <c r="I49" s="12"/>
    </row>
    <row r="50" spans="1:9" x14ac:dyDescent="0.15">
      <c r="A50" s="1"/>
      <c r="B50" s="10"/>
      <c r="C50" s="11"/>
      <c r="D50" s="12"/>
      <c r="E50" s="11"/>
      <c r="F50" s="11"/>
      <c r="G50" s="11"/>
      <c r="H50" s="11"/>
      <c r="I50" s="12"/>
    </row>
    <row r="51" spans="1:9" x14ac:dyDescent="0.15">
      <c r="A51" s="1"/>
      <c r="B51" s="10"/>
      <c r="C51" s="11"/>
      <c r="D51" s="12"/>
      <c r="E51" s="11"/>
      <c r="F51" s="11"/>
      <c r="G51" s="11"/>
      <c r="H51" s="11"/>
      <c r="I51" s="12"/>
    </row>
    <row r="52" spans="1:9" x14ac:dyDescent="0.15">
      <c r="A52" s="1"/>
      <c r="B52" s="10"/>
      <c r="C52" s="11"/>
      <c r="D52" s="12"/>
      <c r="E52" s="11"/>
      <c r="F52" s="11"/>
      <c r="G52" s="11"/>
      <c r="H52" s="11"/>
      <c r="I52" s="12"/>
    </row>
    <row r="53" spans="1:9" x14ac:dyDescent="0.15">
      <c r="A53" s="1"/>
      <c r="B53" s="10"/>
      <c r="C53" s="11"/>
      <c r="D53" s="12"/>
      <c r="E53" s="11"/>
      <c r="F53" s="11"/>
      <c r="G53" s="11"/>
      <c r="H53" s="11"/>
      <c r="I53" s="12"/>
    </row>
    <row r="54" spans="1:9" x14ac:dyDescent="0.15">
      <c r="A54" s="1"/>
      <c r="B54" s="10"/>
      <c r="C54" s="11"/>
      <c r="D54" s="12"/>
      <c r="E54" s="11"/>
      <c r="F54" s="11"/>
      <c r="G54" s="11"/>
      <c r="H54" s="11"/>
      <c r="I54" s="12"/>
    </row>
    <row r="55" spans="1:9" x14ac:dyDescent="0.15">
      <c r="A55" s="1"/>
      <c r="B55" s="10"/>
      <c r="C55" s="11"/>
      <c r="D55" s="12"/>
      <c r="E55" s="11"/>
      <c r="F55" s="11"/>
      <c r="G55" s="11"/>
      <c r="H55" s="11"/>
      <c r="I55" s="12"/>
    </row>
    <row r="56" spans="1:9" x14ac:dyDescent="0.15">
      <c r="A56" s="1"/>
      <c r="B56" s="10"/>
      <c r="C56" s="11"/>
      <c r="D56" s="12"/>
      <c r="E56" s="11"/>
      <c r="F56" s="11"/>
      <c r="G56" s="11"/>
      <c r="H56" s="11"/>
      <c r="I56" s="12"/>
    </row>
    <row r="57" spans="1:9" x14ac:dyDescent="0.15">
      <c r="A57" s="1"/>
      <c r="B57" s="10"/>
      <c r="C57" s="11"/>
      <c r="D57" s="12"/>
      <c r="E57" s="11"/>
      <c r="F57" s="11"/>
      <c r="G57" s="11"/>
      <c r="H57" s="11"/>
      <c r="I57" s="12"/>
    </row>
    <row r="58" spans="1:9" x14ac:dyDescent="0.15">
      <c r="A58" s="1"/>
      <c r="B58" s="10"/>
      <c r="C58" s="11"/>
      <c r="D58" s="12"/>
      <c r="E58" s="11"/>
      <c r="F58" s="11"/>
      <c r="G58" s="11"/>
      <c r="H58" s="11"/>
      <c r="I58" s="12"/>
    </row>
    <row r="59" spans="1:9" x14ac:dyDescent="0.15">
      <c r="A59" s="1"/>
      <c r="B59" s="10"/>
      <c r="C59" s="11"/>
      <c r="D59" s="12"/>
      <c r="E59" s="11"/>
      <c r="F59" s="11"/>
      <c r="G59" s="11"/>
      <c r="H59" s="11"/>
      <c r="I59" s="12"/>
    </row>
    <row r="60" spans="1:9" x14ac:dyDescent="0.15">
      <c r="A60" s="1"/>
      <c r="B60" s="10"/>
      <c r="C60" s="1"/>
      <c r="D60" s="1"/>
      <c r="E60" s="1"/>
      <c r="F60" s="1"/>
      <c r="G60" s="1"/>
      <c r="H60" s="1"/>
      <c r="I60" s="1"/>
    </row>
    <row r="61" spans="1:9" x14ac:dyDescent="0.15">
      <c r="A61" s="1"/>
      <c r="B61" s="10"/>
      <c r="C61" s="1"/>
      <c r="D61" s="1"/>
      <c r="E61" s="1"/>
      <c r="F61" s="1"/>
      <c r="G61" s="1"/>
      <c r="H61" s="1"/>
      <c r="I61" s="1"/>
    </row>
    <row r="62" spans="1:9" x14ac:dyDescent="0.15">
      <c r="A62" s="1"/>
      <c r="B62" s="10"/>
      <c r="C62" s="1"/>
      <c r="D62" s="1"/>
      <c r="E62" s="1"/>
      <c r="F62" s="1"/>
      <c r="G62" s="1"/>
      <c r="H62" s="1"/>
      <c r="I62" s="1"/>
    </row>
    <row r="63" spans="1:9" x14ac:dyDescent="0.15">
      <c r="A63" s="1"/>
      <c r="B63" s="10"/>
      <c r="C63" s="1"/>
      <c r="D63" s="1"/>
      <c r="E63" s="1"/>
      <c r="F63" s="1"/>
      <c r="G63" s="1"/>
      <c r="H63" s="1"/>
      <c r="I63" s="1"/>
    </row>
    <row r="64" spans="1:9" x14ac:dyDescent="0.15">
      <c r="A64" s="1"/>
      <c r="B64" s="10"/>
      <c r="C64" s="1"/>
      <c r="D64" s="1"/>
      <c r="E64" s="1"/>
      <c r="F64" s="1"/>
      <c r="G64" s="1"/>
      <c r="H64" s="1"/>
      <c r="I64" s="1"/>
    </row>
    <row r="65" spans="1:9" x14ac:dyDescent="0.15">
      <c r="A65" s="1"/>
      <c r="B65" s="10"/>
      <c r="C65" s="1"/>
      <c r="D65" s="1"/>
      <c r="E65" s="1"/>
      <c r="F65" s="1"/>
      <c r="G65" s="1"/>
      <c r="H65" s="1"/>
      <c r="I65" s="1"/>
    </row>
    <row r="66" spans="1:9" x14ac:dyDescent="0.15">
      <c r="A66" s="1"/>
      <c r="B66" s="10"/>
      <c r="C66" s="1"/>
      <c r="D66" s="1"/>
      <c r="E66" s="1"/>
      <c r="F66" s="1"/>
      <c r="G66" s="1"/>
      <c r="H66" s="1"/>
      <c r="I66" s="1"/>
    </row>
    <row r="67" spans="1:9" x14ac:dyDescent="0.15">
      <c r="A67" s="1"/>
      <c r="B67" s="10"/>
      <c r="C67" s="1"/>
      <c r="D67" s="1"/>
      <c r="E67" s="1"/>
      <c r="F67" s="1"/>
      <c r="G67" s="1"/>
      <c r="H67" s="1"/>
      <c r="I67" s="1"/>
    </row>
  </sheetData>
  <phoneticPr fontId="35" type="noConversion"/>
  <conditionalFormatting sqref="B1:B3 B5:B67">
    <cfRule type="duplicateValues" dxfId="11" priority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V60"/>
  <sheetViews>
    <sheetView workbookViewId="0">
      <pane xSplit="3" ySplit="9" topLeftCell="D37" activePane="bottomRight" state="frozen"/>
      <selection pane="topRight"/>
      <selection pane="bottomLeft"/>
      <selection pane="bottomRight" activeCell="H15" sqref="H15"/>
    </sheetView>
  </sheetViews>
  <sheetFormatPr defaultColWidth="9" defaultRowHeight="13.5" x14ac:dyDescent="0.15"/>
  <cols>
    <col min="2" max="2" width="4.5" customWidth="1"/>
    <col min="3" max="3" width="7.875" customWidth="1"/>
    <col min="4" max="4" width="6.875" customWidth="1"/>
    <col min="5" max="5" width="44.625" customWidth="1"/>
    <col min="6" max="6" width="12.875" customWidth="1"/>
    <col min="7" max="7" width="15.125" customWidth="1"/>
    <col min="8" max="8" width="106.25" customWidth="1"/>
    <col min="9" max="9" width="19.75" customWidth="1"/>
    <col min="10" max="10" width="13.125" customWidth="1"/>
    <col min="11" max="11" width="14.5" style="1" customWidth="1"/>
    <col min="15" max="15" width="84.5" customWidth="1"/>
    <col min="16" max="16" width="15.375" customWidth="1"/>
    <col min="17" max="17" width="11.25" customWidth="1"/>
    <col min="19" max="19" width="67.5" customWidth="1"/>
  </cols>
  <sheetData>
    <row r="1" spans="1:22" x14ac:dyDescent="0.15">
      <c r="A1" s="2" t="s">
        <v>38</v>
      </c>
      <c r="B1" s="3" t="s">
        <v>39</v>
      </c>
      <c r="C1" s="3" t="s">
        <v>39</v>
      </c>
      <c r="D1" s="3" t="s">
        <v>39</v>
      </c>
      <c r="E1" s="3" t="s">
        <v>39</v>
      </c>
      <c r="F1" s="3" t="s">
        <v>39</v>
      </c>
      <c r="G1" s="3" t="s">
        <v>39</v>
      </c>
      <c r="H1" s="3" t="s">
        <v>39</v>
      </c>
      <c r="I1" s="3" t="s">
        <v>39</v>
      </c>
      <c r="J1" s="3" t="s">
        <v>39</v>
      </c>
      <c r="K1" s="3" t="s">
        <v>39</v>
      </c>
      <c r="L1" s="3" t="s">
        <v>39</v>
      </c>
      <c r="M1" s="3" t="s">
        <v>39</v>
      </c>
      <c r="N1" s="3" t="s">
        <v>39</v>
      </c>
      <c r="O1" s="3" t="s">
        <v>39</v>
      </c>
      <c r="P1" s="3" t="s">
        <v>39</v>
      </c>
      <c r="Q1" s="3" t="s">
        <v>39</v>
      </c>
      <c r="R1" s="3" t="s">
        <v>39</v>
      </c>
      <c r="S1" s="3" t="s">
        <v>39</v>
      </c>
      <c r="T1" s="3" t="s">
        <v>39</v>
      </c>
      <c r="U1" s="3" t="s">
        <v>39</v>
      </c>
      <c r="V1" s="3" t="s">
        <v>39</v>
      </c>
    </row>
    <row r="2" spans="1:22" x14ac:dyDescent="0.15">
      <c r="A2" s="2" t="s">
        <v>40</v>
      </c>
      <c r="B2" s="3" t="s">
        <v>39</v>
      </c>
      <c r="C2" s="3" t="s">
        <v>39</v>
      </c>
      <c r="D2" s="3" t="s">
        <v>39</v>
      </c>
      <c r="E2" s="3" t="s">
        <v>39</v>
      </c>
      <c r="F2" s="3" t="s">
        <v>39</v>
      </c>
      <c r="G2" s="3" t="s">
        <v>39</v>
      </c>
      <c r="H2" s="3" t="s">
        <v>39</v>
      </c>
      <c r="I2" s="3" t="s">
        <v>39</v>
      </c>
      <c r="J2" s="3" t="s">
        <v>39</v>
      </c>
      <c r="K2" s="3" t="s">
        <v>39</v>
      </c>
      <c r="L2" s="3" t="s">
        <v>39</v>
      </c>
      <c r="M2" s="3" t="s">
        <v>39</v>
      </c>
      <c r="N2" s="3" t="s">
        <v>39</v>
      </c>
      <c r="O2" s="3" t="s">
        <v>39</v>
      </c>
      <c r="P2" s="3" t="s">
        <v>39</v>
      </c>
      <c r="Q2" s="3" t="s">
        <v>39</v>
      </c>
      <c r="R2" s="3" t="s">
        <v>39</v>
      </c>
      <c r="S2" s="3" t="s">
        <v>39</v>
      </c>
      <c r="T2" s="3" t="s">
        <v>39</v>
      </c>
      <c r="U2" s="3" t="s">
        <v>39</v>
      </c>
      <c r="V2" s="3" t="s">
        <v>39</v>
      </c>
    </row>
    <row r="3" spans="1:22" ht="14.25" x14ac:dyDescent="0.15">
      <c r="A3" s="4" t="s">
        <v>39</v>
      </c>
      <c r="B3" s="4" t="s">
        <v>41</v>
      </c>
      <c r="C3" s="5" t="s">
        <v>42</v>
      </c>
      <c r="D3" s="5" t="s">
        <v>42</v>
      </c>
      <c r="E3" s="5" t="s">
        <v>42</v>
      </c>
      <c r="F3" s="5" t="s">
        <v>42</v>
      </c>
      <c r="G3" s="5" t="s">
        <v>42</v>
      </c>
      <c r="H3" s="5" t="s">
        <v>42</v>
      </c>
      <c r="I3" s="5" t="s">
        <v>42</v>
      </c>
      <c r="J3" s="5" t="s">
        <v>41</v>
      </c>
      <c r="K3" s="5" t="s">
        <v>41</v>
      </c>
      <c r="L3" s="5" t="s">
        <v>41</v>
      </c>
      <c r="M3" s="5" t="s">
        <v>41</v>
      </c>
      <c r="N3" s="5" t="s">
        <v>41</v>
      </c>
      <c r="O3" s="5" t="s">
        <v>42</v>
      </c>
      <c r="P3" s="5" t="s">
        <v>41</v>
      </c>
      <c r="Q3" s="5" t="s">
        <v>41</v>
      </c>
      <c r="R3" s="5" t="s">
        <v>41</v>
      </c>
      <c r="S3" s="5" t="s">
        <v>42</v>
      </c>
      <c r="T3" s="5" t="s">
        <v>41</v>
      </c>
      <c r="U3" s="5" t="s">
        <v>981</v>
      </c>
      <c r="V3" s="5" t="s">
        <v>989</v>
      </c>
    </row>
    <row r="4" spans="1:22" ht="14.25" x14ac:dyDescent="0.15">
      <c r="A4" s="4"/>
      <c r="B4" s="4" t="s">
        <v>43</v>
      </c>
      <c r="C4" s="4" t="s">
        <v>188</v>
      </c>
      <c r="D4" s="4" t="s">
        <v>44</v>
      </c>
      <c r="E4" s="4" t="s">
        <v>189</v>
      </c>
      <c r="F4" s="4" t="s">
        <v>190</v>
      </c>
      <c r="G4" s="4" t="s">
        <v>191</v>
      </c>
      <c r="H4" s="4" t="s">
        <v>192</v>
      </c>
      <c r="I4" s="4" t="s">
        <v>193</v>
      </c>
      <c r="J4" s="5" t="s">
        <v>194</v>
      </c>
      <c r="K4" s="5" t="s">
        <v>195</v>
      </c>
      <c r="L4" s="5" t="s">
        <v>196</v>
      </c>
      <c r="M4" s="5" t="s">
        <v>197</v>
      </c>
      <c r="N4" s="5" t="s">
        <v>198</v>
      </c>
      <c r="O4" s="5" t="s">
        <v>199</v>
      </c>
      <c r="P4" s="5" t="s">
        <v>200</v>
      </c>
      <c r="Q4" s="5" t="s">
        <v>201</v>
      </c>
      <c r="R4" s="5" t="s">
        <v>202</v>
      </c>
      <c r="S4" s="5" t="s">
        <v>203</v>
      </c>
      <c r="T4" s="5" t="s">
        <v>204</v>
      </c>
      <c r="U4" s="5" t="s">
        <v>982</v>
      </c>
      <c r="V4" s="5" t="s">
        <v>990</v>
      </c>
    </row>
    <row r="5" spans="1:22" ht="14.25" x14ac:dyDescent="0.15">
      <c r="A5" s="4"/>
      <c r="B5" s="4" t="str">
        <f>IF(B3="","",IF(B3="INT","i",IF(B3="FLOAT","f",IF(B3="STRING","s"))))</f>
        <v>i</v>
      </c>
      <c r="C5" s="5" t="s">
        <v>68</v>
      </c>
      <c r="D5" s="5" t="s">
        <v>68</v>
      </c>
      <c r="E5" s="5" t="s">
        <v>68</v>
      </c>
      <c r="F5" s="5" t="s">
        <v>68</v>
      </c>
      <c r="G5" s="5" t="s">
        <v>68</v>
      </c>
      <c r="H5" s="5" t="s">
        <v>68</v>
      </c>
      <c r="I5" s="5" t="s">
        <v>68</v>
      </c>
      <c r="J5" s="5" t="s">
        <v>67</v>
      </c>
      <c r="K5" s="5" t="s">
        <v>67</v>
      </c>
      <c r="L5" s="5" t="s">
        <v>67</v>
      </c>
      <c r="M5" s="5" t="s">
        <v>67</v>
      </c>
      <c r="N5" s="5" t="s">
        <v>67</v>
      </c>
      <c r="O5" s="5" t="s">
        <v>68</v>
      </c>
      <c r="P5" s="5" t="s">
        <v>67</v>
      </c>
      <c r="Q5" s="5" t="s">
        <v>67</v>
      </c>
      <c r="R5" s="5" t="s">
        <v>67</v>
      </c>
      <c r="S5" s="5" t="s">
        <v>68</v>
      </c>
      <c r="T5" s="5" t="s">
        <v>67</v>
      </c>
      <c r="U5" s="5" t="s">
        <v>67</v>
      </c>
      <c r="V5" s="5" t="s">
        <v>67</v>
      </c>
    </row>
    <row r="6" spans="1:22" ht="14.25" x14ac:dyDescent="0.15">
      <c r="A6" s="4" t="s">
        <v>39</v>
      </c>
      <c r="B6" s="4" t="str">
        <f t="shared" ref="B6:D6" si="0">B5&amp;B4</f>
        <v>iID</v>
      </c>
      <c r="C6" s="5" t="str">
        <f t="shared" si="0"/>
        <v>sRoomID</v>
      </c>
      <c r="D6" s="5" t="str">
        <f t="shared" si="0"/>
        <v>sNotes</v>
      </c>
      <c r="E6" s="5" t="s">
        <v>205</v>
      </c>
      <c r="F6" s="5" t="str">
        <f t="shared" ref="F6:Q6" si="1">F5&amp;F4</f>
        <v>sMapAttributes</v>
      </c>
      <c r="G6" s="5" t="str">
        <f t="shared" si="1"/>
        <v>sStandardDefence</v>
      </c>
      <c r="H6" s="5" t="str">
        <f t="shared" si="1"/>
        <v>sRoomIDs</v>
      </c>
      <c r="I6" s="5" t="str">
        <f t="shared" si="1"/>
        <v>sRoomIDs1</v>
      </c>
      <c r="J6" s="5" t="str">
        <f t="shared" si="1"/>
        <v>iCheatValue</v>
      </c>
      <c r="K6" s="5" t="str">
        <f t="shared" si="1"/>
        <v>iBattleValue</v>
      </c>
      <c r="L6" s="5" t="str">
        <f t="shared" si="1"/>
        <v>iGoldAdd</v>
      </c>
      <c r="M6" s="5" t="str">
        <f t="shared" si="1"/>
        <v>iExpAdd</v>
      </c>
      <c r="N6" s="5" t="str">
        <f t="shared" si="1"/>
        <v>iAwardHero</v>
      </c>
      <c r="O6" s="5" t="str">
        <f t="shared" si="1"/>
        <v>sOutPut</v>
      </c>
      <c r="P6" s="5" t="str">
        <f t="shared" si="1"/>
        <v>iDropCount</v>
      </c>
      <c r="Q6" s="5" t="str">
        <f t="shared" si="1"/>
        <v>iCatchTime</v>
      </c>
      <c r="R6" s="5" t="str">
        <f t="shared" ref="R6:S6" si="2">R5&amp;R4</f>
        <v>iCatchProb</v>
      </c>
      <c r="S6" s="5" t="str">
        <f t="shared" si="2"/>
        <v>sFirstOutPut</v>
      </c>
      <c r="T6" s="5" t="str">
        <f t="shared" ref="T6:V6" si="3">T5&amp;T4</f>
        <v>iFirstExpAdd</v>
      </c>
      <c r="U6" s="5" t="str">
        <f t="shared" si="3"/>
        <v>iFirstGoldAdd</v>
      </c>
      <c r="V6" s="5" t="str">
        <f t="shared" si="3"/>
        <v>iMonsLv</v>
      </c>
    </row>
    <row r="7" spans="1:22" ht="14.25" x14ac:dyDescent="0.15">
      <c r="A7" s="4"/>
      <c r="B7" s="4" t="s">
        <v>206</v>
      </c>
      <c r="C7" s="6" t="s">
        <v>207</v>
      </c>
      <c r="D7" s="6" t="s">
        <v>208</v>
      </c>
      <c r="E7" s="6" t="s">
        <v>209</v>
      </c>
      <c r="F7" s="6" t="s">
        <v>210</v>
      </c>
      <c r="G7" s="6"/>
      <c r="H7" s="6" t="s">
        <v>211</v>
      </c>
      <c r="I7" s="6" t="s">
        <v>212</v>
      </c>
      <c r="J7" s="6" t="s">
        <v>213</v>
      </c>
      <c r="K7" s="6" t="s">
        <v>214</v>
      </c>
      <c r="L7" s="6" t="s">
        <v>215</v>
      </c>
      <c r="M7" s="6" t="s">
        <v>216</v>
      </c>
      <c r="N7" s="6" t="s">
        <v>217</v>
      </c>
      <c r="O7" s="6" t="s">
        <v>218</v>
      </c>
      <c r="P7" s="6" t="s">
        <v>219</v>
      </c>
      <c r="Q7" s="6" t="s">
        <v>220</v>
      </c>
      <c r="R7" s="6" t="s">
        <v>221</v>
      </c>
      <c r="S7" s="6" t="s">
        <v>222</v>
      </c>
      <c r="T7" s="6" t="s">
        <v>223</v>
      </c>
      <c r="U7" s="6" t="s">
        <v>984</v>
      </c>
      <c r="V7" s="6" t="s">
        <v>991</v>
      </c>
    </row>
    <row r="8" spans="1:22" ht="14.25" x14ac:dyDescent="0.15">
      <c r="A8" s="4" t="s">
        <v>78</v>
      </c>
      <c r="B8" s="4">
        <v>0</v>
      </c>
      <c r="C8" s="6">
        <v>0</v>
      </c>
      <c r="D8" s="6"/>
      <c r="E8" s="6"/>
      <c r="F8" s="6"/>
      <c r="G8" s="6"/>
      <c r="H8" s="6"/>
      <c r="I8" s="6"/>
      <c r="J8" s="6">
        <v>10000</v>
      </c>
      <c r="K8" s="6">
        <v>10000</v>
      </c>
      <c r="L8" s="6">
        <v>0</v>
      </c>
      <c r="M8" s="6">
        <v>0</v>
      </c>
      <c r="N8" s="6"/>
      <c r="O8" s="6"/>
      <c r="P8" s="6">
        <v>0</v>
      </c>
      <c r="Q8" s="6">
        <v>0</v>
      </c>
      <c r="R8" s="6">
        <v>0</v>
      </c>
      <c r="S8" s="6"/>
      <c r="T8" s="6">
        <v>0</v>
      </c>
      <c r="U8" s="6">
        <v>0</v>
      </c>
      <c r="V8" s="6">
        <v>1</v>
      </c>
    </row>
    <row r="9" spans="1:22" ht="14.25" x14ac:dyDescent="0.15">
      <c r="A9" s="7"/>
      <c r="B9" s="7"/>
      <c r="C9" s="8"/>
      <c r="D9" s="8"/>
      <c r="E9" s="9"/>
      <c r="F9" s="8"/>
      <c r="G9" s="8"/>
      <c r="H9" s="8"/>
      <c r="I9" s="8"/>
      <c r="J9" s="8" t="s">
        <v>224</v>
      </c>
      <c r="K9" s="8" t="s">
        <v>224</v>
      </c>
      <c r="L9" s="8"/>
      <c r="M9" s="8"/>
      <c r="N9" s="8"/>
      <c r="O9" s="8" t="s">
        <v>225</v>
      </c>
      <c r="P9" s="8"/>
      <c r="Q9" s="8" t="s">
        <v>284</v>
      </c>
      <c r="R9" s="8" t="s">
        <v>227</v>
      </c>
      <c r="S9" s="8" t="s">
        <v>225</v>
      </c>
      <c r="T9" s="8"/>
    </row>
    <row r="10" spans="1:22" ht="24" x14ac:dyDescent="0.35">
      <c r="A10" s="1" t="s">
        <v>39</v>
      </c>
      <c r="B10" s="10">
        <v>1</v>
      </c>
      <c r="C10" s="11" t="s">
        <v>400</v>
      </c>
      <c r="D10" s="11"/>
      <c r="E10" s="14" t="s">
        <v>1057</v>
      </c>
      <c r="F10" s="11" t="s">
        <v>356</v>
      </c>
      <c r="G10" s="11" t="s">
        <v>86</v>
      </c>
      <c r="H10" s="14" t="s">
        <v>922</v>
      </c>
      <c r="I10" s="14" t="s">
        <v>1007</v>
      </c>
      <c r="L10" s="21">
        <v>13</v>
      </c>
      <c r="M10" s="21">
        <v>13</v>
      </c>
      <c r="O10" s="1" t="s">
        <v>1113</v>
      </c>
      <c r="P10" s="1">
        <v>5</v>
      </c>
      <c r="Q10" s="1"/>
      <c r="R10" s="1"/>
      <c r="S10" s="1" t="s">
        <v>1113</v>
      </c>
      <c r="T10" s="21">
        <v>13</v>
      </c>
      <c r="U10" s="21">
        <v>13</v>
      </c>
      <c r="V10" s="1">
        <v>31</v>
      </c>
    </row>
    <row r="11" spans="1:22" ht="24" x14ac:dyDescent="0.35">
      <c r="A11" s="1" t="s">
        <v>39</v>
      </c>
      <c r="B11" s="10">
        <v>2</v>
      </c>
      <c r="C11" s="11" t="s">
        <v>401</v>
      </c>
      <c r="D11" s="11"/>
      <c r="E11" s="14" t="s">
        <v>1057</v>
      </c>
      <c r="F11" s="11" t="s">
        <v>356</v>
      </c>
      <c r="G11" s="11" t="s">
        <v>86</v>
      </c>
      <c r="H11" s="14" t="s">
        <v>922</v>
      </c>
      <c r="I11" s="14" t="s">
        <v>1008</v>
      </c>
      <c r="L11" s="21">
        <v>13</v>
      </c>
      <c r="M11" s="21">
        <v>13</v>
      </c>
      <c r="O11" s="1" t="s">
        <v>1113</v>
      </c>
      <c r="P11" s="1">
        <v>5</v>
      </c>
      <c r="Q11" s="1"/>
      <c r="R11" s="1"/>
      <c r="S11" s="1" t="s">
        <v>1113</v>
      </c>
      <c r="T11" s="21">
        <v>13</v>
      </c>
      <c r="U11" s="21">
        <v>13</v>
      </c>
      <c r="V11" s="1">
        <v>31</v>
      </c>
    </row>
    <row r="12" spans="1:22" ht="16.5" x14ac:dyDescent="0.35">
      <c r="A12" s="1" t="s">
        <v>39</v>
      </c>
      <c r="B12" s="10">
        <v>3</v>
      </c>
      <c r="C12" s="11" t="s">
        <v>402</v>
      </c>
      <c r="D12" s="11"/>
      <c r="E12" s="14" t="s">
        <v>1057</v>
      </c>
      <c r="F12" s="11" t="s">
        <v>356</v>
      </c>
      <c r="G12" s="11" t="s">
        <v>86</v>
      </c>
      <c r="H12" s="14" t="s">
        <v>1009</v>
      </c>
      <c r="I12" s="14"/>
      <c r="L12" s="21">
        <v>13</v>
      </c>
      <c r="M12" s="21">
        <v>13</v>
      </c>
      <c r="O12" s="1" t="s">
        <v>1113</v>
      </c>
      <c r="P12" s="1">
        <v>5</v>
      </c>
      <c r="Q12" s="1"/>
      <c r="R12" s="1"/>
      <c r="S12" s="1" t="s">
        <v>1113</v>
      </c>
      <c r="T12" s="21">
        <v>13</v>
      </c>
      <c r="U12" s="21">
        <v>13</v>
      </c>
      <c r="V12" s="1">
        <v>31</v>
      </c>
    </row>
    <row r="13" spans="1:22" ht="16.5" x14ac:dyDescent="0.35">
      <c r="A13" s="1" t="s">
        <v>39</v>
      </c>
      <c r="B13" s="10">
        <v>4</v>
      </c>
      <c r="C13" s="11" t="s">
        <v>403</v>
      </c>
      <c r="D13" s="11"/>
      <c r="E13" s="14" t="s">
        <v>1057</v>
      </c>
      <c r="F13" s="11" t="s">
        <v>356</v>
      </c>
      <c r="G13" s="11" t="s">
        <v>86</v>
      </c>
      <c r="H13" s="14" t="s">
        <v>1009</v>
      </c>
      <c r="I13" s="14"/>
      <c r="L13" s="21">
        <v>13</v>
      </c>
      <c r="M13" s="21">
        <v>13</v>
      </c>
      <c r="O13" s="1" t="s">
        <v>1113</v>
      </c>
      <c r="P13" s="1">
        <v>5</v>
      </c>
      <c r="Q13" s="1"/>
      <c r="R13" s="1"/>
      <c r="S13" s="1" t="s">
        <v>1113</v>
      </c>
      <c r="T13" s="21">
        <v>13</v>
      </c>
      <c r="U13" s="21">
        <v>13</v>
      </c>
      <c r="V13" s="1">
        <v>31</v>
      </c>
    </row>
    <row r="14" spans="1:22" ht="24" x14ac:dyDescent="0.35">
      <c r="A14" s="1" t="s">
        <v>39</v>
      </c>
      <c r="B14" s="10">
        <v>5</v>
      </c>
      <c r="C14" s="11" t="s">
        <v>404</v>
      </c>
      <c r="D14" s="11"/>
      <c r="E14" s="14" t="s">
        <v>1057</v>
      </c>
      <c r="F14" s="11" t="s">
        <v>356</v>
      </c>
      <c r="G14" s="11" t="s">
        <v>86</v>
      </c>
      <c r="H14" s="11" t="s">
        <v>923</v>
      </c>
      <c r="I14" s="25"/>
      <c r="L14" s="21"/>
      <c r="M14" s="21"/>
      <c r="O14" s="1"/>
      <c r="P14" s="1"/>
      <c r="Q14" s="1"/>
      <c r="R14" s="1"/>
      <c r="S14" s="1"/>
      <c r="T14" s="21"/>
      <c r="U14" s="21"/>
      <c r="V14" s="1">
        <v>31</v>
      </c>
    </row>
    <row r="15" spans="1:22" ht="24" x14ac:dyDescent="0.35">
      <c r="A15" s="1" t="s">
        <v>39</v>
      </c>
      <c r="B15" s="10">
        <v>6</v>
      </c>
      <c r="C15" s="11" t="s">
        <v>405</v>
      </c>
      <c r="D15" s="11"/>
      <c r="E15" s="14" t="s">
        <v>1058</v>
      </c>
      <c r="F15" s="11" t="s">
        <v>356</v>
      </c>
      <c r="G15" s="11" t="s">
        <v>86</v>
      </c>
      <c r="H15" s="14" t="s">
        <v>924</v>
      </c>
      <c r="I15" s="25"/>
      <c r="L15" s="21">
        <v>13</v>
      </c>
      <c r="M15" s="21">
        <v>13</v>
      </c>
      <c r="O15" s="1" t="s">
        <v>1113</v>
      </c>
      <c r="P15" s="1">
        <v>5</v>
      </c>
      <c r="Q15" s="1"/>
      <c r="R15" s="1"/>
      <c r="S15" s="1" t="s">
        <v>1113</v>
      </c>
      <c r="T15" s="21">
        <v>13</v>
      </c>
      <c r="U15" s="21">
        <v>13</v>
      </c>
      <c r="V15" s="1">
        <f>V10+1</f>
        <v>32</v>
      </c>
    </row>
    <row r="16" spans="1:22" ht="24" x14ac:dyDescent="0.35">
      <c r="A16" s="1" t="s">
        <v>39</v>
      </c>
      <c r="B16" s="10">
        <v>7</v>
      </c>
      <c r="C16" s="11" t="s">
        <v>406</v>
      </c>
      <c r="D16" s="11"/>
      <c r="E16" s="14" t="s">
        <v>1058</v>
      </c>
      <c r="F16" s="11" t="s">
        <v>356</v>
      </c>
      <c r="G16" s="11" t="s">
        <v>86</v>
      </c>
      <c r="H16" s="14" t="s">
        <v>924</v>
      </c>
      <c r="I16" s="14"/>
      <c r="L16" s="21">
        <v>13</v>
      </c>
      <c r="M16" s="21">
        <v>13</v>
      </c>
      <c r="O16" s="1" t="s">
        <v>1113</v>
      </c>
      <c r="P16" s="1">
        <v>5</v>
      </c>
      <c r="Q16" s="1"/>
      <c r="R16" s="1"/>
      <c r="S16" s="1" t="s">
        <v>1113</v>
      </c>
      <c r="T16" s="21">
        <v>13</v>
      </c>
      <c r="U16" s="21">
        <v>13</v>
      </c>
      <c r="V16" s="1">
        <f t="shared" ref="V16:V59" si="4">V11+1</f>
        <v>32</v>
      </c>
    </row>
    <row r="17" spans="1:22" ht="24" x14ac:dyDescent="0.35">
      <c r="A17" s="1" t="s">
        <v>39</v>
      </c>
      <c r="B17" s="10">
        <v>8</v>
      </c>
      <c r="C17" s="11" t="s">
        <v>407</v>
      </c>
      <c r="D17" s="11"/>
      <c r="E17" s="14" t="s">
        <v>1058</v>
      </c>
      <c r="F17" s="11" t="s">
        <v>356</v>
      </c>
      <c r="G17" s="11" t="s">
        <v>86</v>
      </c>
      <c r="H17" s="14" t="s">
        <v>924</v>
      </c>
      <c r="I17" s="25"/>
      <c r="L17" s="21">
        <v>13</v>
      </c>
      <c r="M17" s="21">
        <v>13</v>
      </c>
      <c r="O17" s="1" t="s">
        <v>1113</v>
      </c>
      <c r="P17" s="1">
        <v>5</v>
      </c>
      <c r="Q17" s="1"/>
      <c r="R17" s="1"/>
      <c r="S17" s="1" t="s">
        <v>1113</v>
      </c>
      <c r="T17" s="21">
        <v>13</v>
      </c>
      <c r="U17" s="21">
        <v>13</v>
      </c>
      <c r="V17" s="1">
        <f t="shared" si="4"/>
        <v>32</v>
      </c>
    </row>
    <row r="18" spans="1:22" ht="16.5" x14ac:dyDescent="0.35">
      <c r="A18" s="1" t="s">
        <v>39</v>
      </c>
      <c r="B18" s="10">
        <v>9</v>
      </c>
      <c r="C18" s="11" t="s">
        <v>408</v>
      </c>
      <c r="D18" s="11"/>
      <c r="E18" s="14" t="s">
        <v>1058</v>
      </c>
      <c r="F18" s="11" t="s">
        <v>356</v>
      </c>
      <c r="G18" s="11" t="s">
        <v>86</v>
      </c>
      <c r="H18" s="11" t="s">
        <v>1010</v>
      </c>
      <c r="I18" s="14"/>
      <c r="L18" s="21">
        <v>13</v>
      </c>
      <c r="M18" s="21">
        <v>13</v>
      </c>
      <c r="O18" s="1" t="s">
        <v>1113</v>
      </c>
      <c r="P18" s="1">
        <v>5</v>
      </c>
      <c r="Q18" s="1"/>
      <c r="R18" s="1"/>
      <c r="S18" s="1" t="s">
        <v>1113</v>
      </c>
      <c r="T18" s="21">
        <v>13</v>
      </c>
      <c r="U18" s="21">
        <v>13</v>
      </c>
      <c r="V18" s="1">
        <f t="shared" si="4"/>
        <v>32</v>
      </c>
    </row>
    <row r="19" spans="1:22" ht="16.5" x14ac:dyDescent="0.35">
      <c r="A19" s="1" t="s">
        <v>39</v>
      </c>
      <c r="B19" s="10">
        <v>10</v>
      </c>
      <c r="C19" s="11" t="s">
        <v>409</v>
      </c>
      <c r="D19" s="11"/>
      <c r="E19" s="14" t="s">
        <v>1058</v>
      </c>
      <c r="F19" s="11" t="s">
        <v>356</v>
      </c>
      <c r="G19" s="11" t="s">
        <v>86</v>
      </c>
      <c r="H19" s="19" t="s">
        <v>1136</v>
      </c>
      <c r="I19" s="19"/>
      <c r="L19" s="21">
        <v>54</v>
      </c>
      <c r="M19" s="21">
        <v>54</v>
      </c>
      <c r="O19" s="24" t="s">
        <v>1114</v>
      </c>
      <c r="P19" s="24">
        <v>1</v>
      </c>
      <c r="Q19" s="24">
        <v>30</v>
      </c>
      <c r="R19" s="24">
        <v>5000</v>
      </c>
      <c r="S19" s="24" t="s">
        <v>1114</v>
      </c>
      <c r="T19" s="21">
        <v>54</v>
      </c>
      <c r="U19" s="21">
        <v>54</v>
      </c>
      <c r="V19" s="1">
        <f t="shared" si="4"/>
        <v>32</v>
      </c>
    </row>
    <row r="20" spans="1:22" ht="16.5" x14ac:dyDescent="0.35">
      <c r="A20" s="1" t="s">
        <v>39</v>
      </c>
      <c r="B20" s="10">
        <v>11</v>
      </c>
      <c r="C20" s="11" t="s">
        <v>410</v>
      </c>
      <c r="D20" s="11"/>
      <c r="E20" s="14" t="s">
        <v>1059</v>
      </c>
      <c r="F20" s="11" t="s">
        <v>356</v>
      </c>
      <c r="G20" s="11" t="s">
        <v>86</v>
      </c>
      <c r="H20" s="11" t="s">
        <v>925</v>
      </c>
      <c r="I20" s="14"/>
      <c r="L20" s="21">
        <v>13</v>
      </c>
      <c r="M20" s="21">
        <v>13</v>
      </c>
      <c r="O20" s="1" t="s">
        <v>1113</v>
      </c>
      <c r="P20" s="1">
        <v>5</v>
      </c>
      <c r="Q20" s="1"/>
      <c r="R20" s="1"/>
      <c r="S20" s="1" t="s">
        <v>1113</v>
      </c>
      <c r="T20" s="21">
        <v>13</v>
      </c>
      <c r="U20" s="21">
        <v>13</v>
      </c>
      <c r="V20" s="1">
        <f t="shared" si="4"/>
        <v>33</v>
      </c>
    </row>
    <row r="21" spans="1:22" ht="16.5" x14ac:dyDescent="0.35">
      <c r="A21" s="1" t="s">
        <v>39</v>
      </c>
      <c r="B21" s="10">
        <v>12</v>
      </c>
      <c r="C21" s="11" t="s">
        <v>411</v>
      </c>
      <c r="D21" s="11"/>
      <c r="E21" s="14" t="s">
        <v>1059</v>
      </c>
      <c r="F21" s="11" t="s">
        <v>356</v>
      </c>
      <c r="G21" s="11" t="s">
        <v>86</v>
      </c>
      <c r="H21" s="11" t="s">
        <v>925</v>
      </c>
      <c r="I21" s="14"/>
      <c r="L21" s="21">
        <v>13</v>
      </c>
      <c r="M21" s="21">
        <v>13</v>
      </c>
      <c r="O21" s="1" t="s">
        <v>1113</v>
      </c>
      <c r="P21" s="1">
        <v>5</v>
      </c>
      <c r="Q21" s="1"/>
      <c r="R21" s="1"/>
      <c r="S21" s="1" t="s">
        <v>1113</v>
      </c>
      <c r="T21" s="21">
        <v>13</v>
      </c>
      <c r="U21" s="21">
        <v>13</v>
      </c>
      <c r="V21" s="1">
        <f t="shared" si="4"/>
        <v>33</v>
      </c>
    </row>
    <row r="22" spans="1:22" ht="16.5" x14ac:dyDescent="0.35">
      <c r="A22" s="1" t="s">
        <v>39</v>
      </c>
      <c r="B22" s="10">
        <v>13</v>
      </c>
      <c r="C22" s="11" t="s">
        <v>412</v>
      </c>
      <c r="D22" s="11"/>
      <c r="E22" s="14" t="s">
        <v>1059</v>
      </c>
      <c r="F22" s="11" t="s">
        <v>356</v>
      </c>
      <c r="G22" s="11" t="s">
        <v>86</v>
      </c>
      <c r="H22" s="11" t="s">
        <v>993</v>
      </c>
      <c r="I22" s="14" t="s">
        <v>994</v>
      </c>
      <c r="L22" s="21">
        <v>13</v>
      </c>
      <c r="M22" s="21">
        <v>13</v>
      </c>
      <c r="O22" s="1" t="s">
        <v>1113</v>
      </c>
      <c r="P22" s="1">
        <v>5</v>
      </c>
      <c r="Q22" s="1"/>
      <c r="R22" s="1"/>
      <c r="S22" s="1" t="s">
        <v>1113</v>
      </c>
      <c r="T22" s="21">
        <v>13</v>
      </c>
      <c r="U22" s="21">
        <v>13</v>
      </c>
      <c r="V22" s="1">
        <f t="shared" si="4"/>
        <v>33</v>
      </c>
    </row>
    <row r="23" spans="1:22" ht="16.5" x14ac:dyDescent="0.35">
      <c r="A23" s="1" t="s">
        <v>39</v>
      </c>
      <c r="B23" s="10">
        <v>14</v>
      </c>
      <c r="C23" s="11" t="s">
        <v>413</v>
      </c>
      <c r="D23" s="11"/>
      <c r="E23" s="14" t="s">
        <v>1059</v>
      </c>
      <c r="F23" s="11" t="s">
        <v>356</v>
      </c>
      <c r="G23" s="11" t="s">
        <v>86</v>
      </c>
      <c r="H23" s="11" t="s">
        <v>993</v>
      </c>
      <c r="I23" s="26"/>
      <c r="L23" s="21">
        <v>13</v>
      </c>
      <c r="M23" s="21">
        <v>13</v>
      </c>
      <c r="O23" s="1" t="s">
        <v>1113</v>
      </c>
      <c r="P23" s="1">
        <v>5</v>
      </c>
      <c r="Q23" s="1"/>
      <c r="R23" s="1"/>
      <c r="S23" s="1" t="s">
        <v>1113</v>
      </c>
      <c r="T23" s="21">
        <v>13</v>
      </c>
      <c r="U23" s="21">
        <v>13</v>
      </c>
      <c r="V23" s="1">
        <f t="shared" si="4"/>
        <v>33</v>
      </c>
    </row>
    <row r="24" spans="1:22" ht="24" x14ac:dyDescent="0.35">
      <c r="A24" s="1" t="s">
        <v>39</v>
      </c>
      <c r="B24" s="10">
        <v>15</v>
      </c>
      <c r="C24" s="11" t="s">
        <v>414</v>
      </c>
      <c r="D24" s="11"/>
      <c r="E24" s="14" t="s">
        <v>1059</v>
      </c>
      <c r="F24" s="11" t="s">
        <v>356</v>
      </c>
      <c r="G24" s="11" t="s">
        <v>86</v>
      </c>
      <c r="H24" s="11" t="s">
        <v>923</v>
      </c>
      <c r="I24" s="26"/>
      <c r="L24" s="21"/>
      <c r="M24" s="21"/>
      <c r="O24" s="1"/>
      <c r="P24" s="1"/>
      <c r="Q24" s="1"/>
      <c r="R24" s="1"/>
      <c r="S24" s="1"/>
      <c r="T24" s="21"/>
      <c r="U24" s="21"/>
      <c r="V24" s="1">
        <f t="shared" si="4"/>
        <v>33</v>
      </c>
    </row>
    <row r="25" spans="1:22" ht="16.5" x14ac:dyDescent="0.35">
      <c r="A25" s="1" t="s">
        <v>39</v>
      </c>
      <c r="B25" s="10">
        <v>16</v>
      </c>
      <c r="C25" s="11" t="s">
        <v>415</v>
      </c>
      <c r="D25" s="11"/>
      <c r="E25" s="14" t="s">
        <v>1060</v>
      </c>
      <c r="F25" s="11" t="s">
        <v>416</v>
      </c>
      <c r="G25" s="11" t="s">
        <v>86</v>
      </c>
      <c r="H25" s="11" t="s">
        <v>995</v>
      </c>
      <c r="I25" s="14" t="s">
        <v>996</v>
      </c>
      <c r="L25" s="21">
        <v>13</v>
      </c>
      <c r="M25" s="21">
        <v>13</v>
      </c>
      <c r="O25" s="1" t="s">
        <v>1113</v>
      </c>
      <c r="P25" s="1">
        <v>5</v>
      </c>
      <c r="Q25" s="1"/>
      <c r="R25" s="1"/>
      <c r="S25" s="1" t="s">
        <v>1113</v>
      </c>
      <c r="T25" s="21">
        <v>13</v>
      </c>
      <c r="U25" s="21">
        <v>13</v>
      </c>
      <c r="V25" s="1">
        <f t="shared" si="4"/>
        <v>34</v>
      </c>
    </row>
    <row r="26" spans="1:22" ht="16.5" x14ac:dyDescent="0.35">
      <c r="A26" s="1" t="s">
        <v>39</v>
      </c>
      <c r="B26" s="10">
        <v>17</v>
      </c>
      <c r="C26" s="11" t="s">
        <v>417</v>
      </c>
      <c r="D26" s="11"/>
      <c r="E26" s="14" t="s">
        <v>1060</v>
      </c>
      <c r="F26" s="11" t="s">
        <v>416</v>
      </c>
      <c r="G26" s="11" t="s">
        <v>86</v>
      </c>
      <c r="H26" s="11" t="s">
        <v>995</v>
      </c>
      <c r="I26" s="25"/>
      <c r="L26" s="21">
        <v>13</v>
      </c>
      <c r="M26" s="21">
        <v>13</v>
      </c>
      <c r="O26" s="1" t="s">
        <v>1113</v>
      </c>
      <c r="P26" s="1">
        <v>5</v>
      </c>
      <c r="Q26" s="1"/>
      <c r="R26" s="1"/>
      <c r="S26" s="1" t="s">
        <v>1113</v>
      </c>
      <c r="T26" s="21">
        <v>13</v>
      </c>
      <c r="U26" s="21">
        <v>13</v>
      </c>
      <c r="V26" s="1">
        <f t="shared" si="4"/>
        <v>34</v>
      </c>
    </row>
    <row r="27" spans="1:22" ht="16.5" x14ac:dyDescent="0.35">
      <c r="A27" s="1" t="s">
        <v>39</v>
      </c>
      <c r="B27" s="10">
        <v>18</v>
      </c>
      <c r="C27" s="11" t="s">
        <v>418</v>
      </c>
      <c r="D27" s="11"/>
      <c r="E27" s="14" t="s">
        <v>1060</v>
      </c>
      <c r="F27" s="11" t="s">
        <v>416</v>
      </c>
      <c r="G27" s="11" t="s">
        <v>86</v>
      </c>
      <c r="H27" s="11" t="s">
        <v>995</v>
      </c>
      <c r="I27" s="25"/>
      <c r="L27" s="21">
        <v>13</v>
      </c>
      <c r="M27" s="21">
        <v>13</v>
      </c>
      <c r="O27" s="1" t="s">
        <v>1113</v>
      </c>
      <c r="P27" s="1">
        <v>5</v>
      </c>
      <c r="Q27" s="1"/>
      <c r="R27" s="1"/>
      <c r="S27" s="1" t="s">
        <v>1113</v>
      </c>
      <c r="T27" s="21">
        <v>13</v>
      </c>
      <c r="U27" s="21">
        <v>13</v>
      </c>
      <c r="V27" s="1">
        <f t="shared" si="4"/>
        <v>34</v>
      </c>
    </row>
    <row r="28" spans="1:22" ht="16.5" x14ac:dyDescent="0.35">
      <c r="A28" s="1" t="s">
        <v>39</v>
      </c>
      <c r="B28" s="10">
        <v>19</v>
      </c>
      <c r="C28" s="11" t="s">
        <v>419</v>
      </c>
      <c r="D28" s="11"/>
      <c r="E28" s="14" t="s">
        <v>1060</v>
      </c>
      <c r="F28" s="11" t="s">
        <v>416</v>
      </c>
      <c r="G28" s="11" t="s">
        <v>86</v>
      </c>
      <c r="H28" s="11" t="s">
        <v>992</v>
      </c>
      <c r="I28" s="25"/>
      <c r="L28" s="21">
        <v>13</v>
      </c>
      <c r="M28" s="21">
        <v>13</v>
      </c>
      <c r="O28" s="1" t="s">
        <v>1113</v>
      </c>
      <c r="P28" s="1">
        <v>5</v>
      </c>
      <c r="Q28" s="1"/>
      <c r="R28" s="1"/>
      <c r="S28" s="1" t="s">
        <v>1113</v>
      </c>
      <c r="T28" s="21">
        <v>13</v>
      </c>
      <c r="U28" s="21">
        <v>13</v>
      </c>
      <c r="V28" s="1">
        <f t="shared" si="4"/>
        <v>34</v>
      </c>
    </row>
    <row r="29" spans="1:22" ht="16.5" x14ac:dyDescent="0.35">
      <c r="A29" s="1" t="s">
        <v>39</v>
      </c>
      <c r="B29" s="10">
        <v>20</v>
      </c>
      <c r="C29" s="11" t="s">
        <v>420</v>
      </c>
      <c r="D29" s="11"/>
      <c r="E29" s="14" t="s">
        <v>1060</v>
      </c>
      <c r="F29" s="11" t="s">
        <v>416</v>
      </c>
      <c r="G29" s="11" t="s">
        <v>86</v>
      </c>
      <c r="H29" s="19" t="s">
        <v>1143</v>
      </c>
      <c r="I29" s="19"/>
      <c r="L29" s="21">
        <v>54</v>
      </c>
      <c r="M29" s="21">
        <v>54</v>
      </c>
      <c r="O29" s="24" t="s">
        <v>1115</v>
      </c>
      <c r="P29" s="24">
        <v>1</v>
      </c>
      <c r="Q29" s="24">
        <v>30</v>
      </c>
      <c r="R29" s="24">
        <v>5000</v>
      </c>
      <c r="S29" s="24" t="s">
        <v>1115</v>
      </c>
      <c r="T29" s="21">
        <v>54</v>
      </c>
      <c r="U29" s="21">
        <v>54</v>
      </c>
      <c r="V29" s="1">
        <f t="shared" si="4"/>
        <v>34</v>
      </c>
    </row>
    <row r="30" spans="1:22" ht="16.5" x14ac:dyDescent="0.35">
      <c r="A30" s="1" t="s">
        <v>39</v>
      </c>
      <c r="B30" s="10">
        <v>21</v>
      </c>
      <c r="C30" s="11" t="s">
        <v>421</v>
      </c>
      <c r="D30" s="11"/>
      <c r="E30" s="14" t="s">
        <v>1061</v>
      </c>
      <c r="F30" s="11" t="s">
        <v>416</v>
      </c>
      <c r="G30" s="11" t="s">
        <v>86</v>
      </c>
      <c r="H30" s="11" t="s">
        <v>997</v>
      </c>
      <c r="I30" s="14"/>
      <c r="L30" s="21">
        <v>13</v>
      </c>
      <c r="M30" s="21">
        <v>13</v>
      </c>
      <c r="O30" s="1" t="s">
        <v>1113</v>
      </c>
      <c r="P30" s="1">
        <v>5</v>
      </c>
      <c r="Q30" s="1"/>
      <c r="R30" s="1"/>
      <c r="S30" s="1" t="s">
        <v>1113</v>
      </c>
      <c r="T30" s="21">
        <v>13</v>
      </c>
      <c r="U30" s="21">
        <v>13</v>
      </c>
      <c r="V30" s="1">
        <f t="shared" si="4"/>
        <v>35</v>
      </c>
    </row>
    <row r="31" spans="1:22" ht="16.5" x14ac:dyDescent="0.35">
      <c r="A31" s="1" t="s">
        <v>39</v>
      </c>
      <c r="B31" s="10">
        <v>22</v>
      </c>
      <c r="C31" s="11" t="s">
        <v>422</v>
      </c>
      <c r="D31" s="11"/>
      <c r="E31" s="14" t="s">
        <v>1061</v>
      </c>
      <c r="F31" s="11" t="s">
        <v>416</v>
      </c>
      <c r="G31" s="11" t="s">
        <v>86</v>
      </c>
      <c r="H31" s="11" t="s">
        <v>997</v>
      </c>
      <c r="I31" s="25"/>
      <c r="L31" s="21">
        <v>13</v>
      </c>
      <c r="M31" s="21">
        <v>13</v>
      </c>
      <c r="O31" s="1" t="s">
        <v>1113</v>
      </c>
      <c r="P31" s="1">
        <v>5</v>
      </c>
      <c r="Q31" s="1"/>
      <c r="R31" s="1"/>
      <c r="S31" s="1" t="s">
        <v>1113</v>
      </c>
      <c r="T31" s="21">
        <v>13</v>
      </c>
      <c r="U31" s="21">
        <v>13</v>
      </c>
      <c r="V31" s="1">
        <f t="shared" si="4"/>
        <v>35</v>
      </c>
    </row>
    <row r="32" spans="1:22" ht="16.5" x14ac:dyDescent="0.35">
      <c r="A32" s="1" t="s">
        <v>39</v>
      </c>
      <c r="B32" s="10">
        <v>23</v>
      </c>
      <c r="C32" s="11" t="s">
        <v>423</v>
      </c>
      <c r="D32" s="11"/>
      <c r="E32" s="14" t="s">
        <v>1061</v>
      </c>
      <c r="F32" s="11" t="s">
        <v>416</v>
      </c>
      <c r="G32" s="11" t="s">
        <v>86</v>
      </c>
      <c r="H32" s="11" t="s">
        <v>998</v>
      </c>
      <c r="I32" s="14" t="s">
        <v>999</v>
      </c>
      <c r="L32" s="21">
        <v>13</v>
      </c>
      <c r="M32" s="21">
        <v>13</v>
      </c>
      <c r="O32" s="1" t="s">
        <v>1113</v>
      </c>
      <c r="P32" s="1">
        <v>5</v>
      </c>
      <c r="Q32" s="1"/>
      <c r="R32" s="1"/>
      <c r="S32" s="1" t="s">
        <v>1113</v>
      </c>
      <c r="T32" s="21">
        <v>13</v>
      </c>
      <c r="U32" s="21">
        <v>13</v>
      </c>
      <c r="V32" s="1">
        <f t="shared" si="4"/>
        <v>35</v>
      </c>
    </row>
    <row r="33" spans="1:22" ht="16.5" x14ac:dyDescent="0.35">
      <c r="A33" s="1" t="s">
        <v>39</v>
      </c>
      <c r="B33" s="10">
        <v>24</v>
      </c>
      <c r="C33" s="11" t="s">
        <v>424</v>
      </c>
      <c r="D33" s="11"/>
      <c r="E33" s="14" t="s">
        <v>1061</v>
      </c>
      <c r="F33" s="11" t="s">
        <v>416</v>
      </c>
      <c r="G33" s="11" t="s">
        <v>86</v>
      </c>
      <c r="H33" s="11" t="s">
        <v>998</v>
      </c>
      <c r="I33" s="25" t="s">
        <v>1000</v>
      </c>
      <c r="L33" s="21">
        <v>13</v>
      </c>
      <c r="M33" s="21">
        <v>13</v>
      </c>
      <c r="O33" s="1" t="s">
        <v>1113</v>
      </c>
      <c r="P33" s="1">
        <v>5</v>
      </c>
      <c r="Q33" s="1"/>
      <c r="R33" s="1"/>
      <c r="S33" s="1" t="s">
        <v>1113</v>
      </c>
      <c r="T33" s="21">
        <v>13</v>
      </c>
      <c r="U33" s="21">
        <v>13</v>
      </c>
      <c r="V33" s="1">
        <f t="shared" si="4"/>
        <v>35</v>
      </c>
    </row>
    <row r="34" spans="1:22" ht="24" x14ac:dyDescent="0.35">
      <c r="A34" s="1" t="s">
        <v>39</v>
      </c>
      <c r="B34" s="10">
        <v>25</v>
      </c>
      <c r="C34" s="11" t="s">
        <v>425</v>
      </c>
      <c r="D34" s="11"/>
      <c r="E34" s="14" t="s">
        <v>1061</v>
      </c>
      <c r="F34" s="11" t="s">
        <v>416</v>
      </c>
      <c r="G34" s="11" t="s">
        <v>86</v>
      </c>
      <c r="H34" s="11" t="s">
        <v>923</v>
      </c>
      <c r="I34" s="25"/>
      <c r="L34" s="21"/>
      <c r="M34" s="21"/>
      <c r="O34" s="1"/>
      <c r="P34" s="1"/>
      <c r="Q34" s="1"/>
      <c r="R34" s="1"/>
      <c r="S34" s="1"/>
      <c r="T34" s="21"/>
      <c r="U34" s="21"/>
      <c r="V34" s="1">
        <f t="shared" si="4"/>
        <v>35</v>
      </c>
    </row>
    <row r="35" spans="1:22" ht="24" x14ac:dyDescent="0.35">
      <c r="A35" s="1" t="s">
        <v>39</v>
      </c>
      <c r="B35" s="10">
        <v>26</v>
      </c>
      <c r="C35" s="11" t="s">
        <v>426</v>
      </c>
      <c r="D35" s="11"/>
      <c r="E35" s="14" t="s">
        <v>1062</v>
      </c>
      <c r="F35" s="11" t="s">
        <v>416</v>
      </c>
      <c r="G35" s="11" t="s">
        <v>86</v>
      </c>
      <c r="H35" s="11" t="s">
        <v>1001</v>
      </c>
      <c r="I35" s="25"/>
      <c r="L35" s="21">
        <v>13</v>
      </c>
      <c r="M35" s="21">
        <v>13</v>
      </c>
      <c r="O35" s="1" t="s">
        <v>1113</v>
      </c>
      <c r="P35" s="1">
        <v>5</v>
      </c>
      <c r="Q35" s="1"/>
      <c r="R35" s="1"/>
      <c r="S35" s="1" t="s">
        <v>1113</v>
      </c>
      <c r="T35" s="21">
        <v>13</v>
      </c>
      <c r="U35" s="21">
        <v>13</v>
      </c>
      <c r="V35" s="1">
        <f t="shared" si="4"/>
        <v>36</v>
      </c>
    </row>
    <row r="36" spans="1:22" ht="24" x14ac:dyDescent="0.35">
      <c r="A36" s="1" t="s">
        <v>39</v>
      </c>
      <c r="B36" s="10">
        <v>27</v>
      </c>
      <c r="C36" s="11" t="s">
        <v>427</v>
      </c>
      <c r="D36" s="11"/>
      <c r="E36" s="14" t="s">
        <v>1062</v>
      </c>
      <c r="F36" s="11" t="s">
        <v>416</v>
      </c>
      <c r="G36" s="11" t="s">
        <v>86</v>
      </c>
      <c r="H36" s="11" t="s">
        <v>1001</v>
      </c>
      <c r="I36" s="25"/>
      <c r="L36" s="21">
        <v>13</v>
      </c>
      <c r="M36" s="21">
        <v>13</v>
      </c>
      <c r="O36" s="1" t="s">
        <v>1113</v>
      </c>
      <c r="P36" s="1">
        <v>5</v>
      </c>
      <c r="Q36" s="1"/>
      <c r="R36" s="1"/>
      <c r="S36" s="1" t="s">
        <v>1113</v>
      </c>
      <c r="T36" s="21">
        <v>13</v>
      </c>
      <c r="U36" s="21">
        <v>13</v>
      </c>
      <c r="V36" s="1">
        <f t="shared" si="4"/>
        <v>36</v>
      </c>
    </row>
    <row r="37" spans="1:22" ht="24" x14ac:dyDescent="0.35">
      <c r="A37" s="1" t="s">
        <v>39</v>
      </c>
      <c r="B37" s="10">
        <v>28</v>
      </c>
      <c r="C37" s="11" t="s">
        <v>428</v>
      </c>
      <c r="D37" s="11"/>
      <c r="E37" s="14" t="s">
        <v>1062</v>
      </c>
      <c r="F37" s="11" t="s">
        <v>416</v>
      </c>
      <c r="G37" s="11" t="s">
        <v>86</v>
      </c>
      <c r="H37" s="11" t="s">
        <v>1001</v>
      </c>
      <c r="I37" s="25"/>
      <c r="L37" s="21">
        <v>13</v>
      </c>
      <c r="M37" s="21">
        <v>13</v>
      </c>
      <c r="O37" s="1" t="s">
        <v>1113</v>
      </c>
      <c r="P37" s="1">
        <v>5</v>
      </c>
      <c r="Q37" s="1"/>
      <c r="R37" s="1"/>
      <c r="S37" s="1" t="s">
        <v>1113</v>
      </c>
      <c r="T37" s="21">
        <v>13</v>
      </c>
      <c r="U37" s="21">
        <v>13</v>
      </c>
      <c r="V37" s="1">
        <f t="shared" si="4"/>
        <v>36</v>
      </c>
    </row>
    <row r="38" spans="1:22" ht="16.5" x14ac:dyDescent="0.35">
      <c r="A38" s="1" t="s">
        <v>39</v>
      </c>
      <c r="B38" s="10">
        <v>29</v>
      </c>
      <c r="C38" s="11" t="s">
        <v>429</v>
      </c>
      <c r="D38" s="11"/>
      <c r="E38" s="14" t="s">
        <v>1062</v>
      </c>
      <c r="F38" s="11" t="s">
        <v>416</v>
      </c>
      <c r="G38" s="11" t="s">
        <v>86</v>
      </c>
      <c r="H38" s="11" t="s">
        <v>1002</v>
      </c>
      <c r="I38" s="25"/>
      <c r="L38" s="21">
        <v>13</v>
      </c>
      <c r="M38" s="21">
        <v>13</v>
      </c>
      <c r="O38" s="1" t="s">
        <v>1113</v>
      </c>
      <c r="P38" s="1">
        <v>5</v>
      </c>
      <c r="Q38" s="1"/>
      <c r="R38" s="1"/>
      <c r="S38" s="1" t="s">
        <v>1113</v>
      </c>
      <c r="T38" s="21">
        <v>13</v>
      </c>
      <c r="U38" s="21">
        <v>13</v>
      </c>
      <c r="V38" s="1">
        <f t="shared" si="4"/>
        <v>36</v>
      </c>
    </row>
    <row r="39" spans="1:22" ht="16.5" x14ac:dyDescent="0.35">
      <c r="A39" s="1" t="s">
        <v>39</v>
      </c>
      <c r="B39" s="10">
        <v>30</v>
      </c>
      <c r="C39" s="11" t="s">
        <v>430</v>
      </c>
      <c r="D39" s="11"/>
      <c r="E39" s="14" t="s">
        <v>1062</v>
      </c>
      <c r="F39" s="11" t="s">
        <v>416</v>
      </c>
      <c r="G39" s="11" t="s">
        <v>86</v>
      </c>
      <c r="H39" s="19" t="s">
        <v>1137</v>
      </c>
      <c r="I39" s="19"/>
      <c r="L39" s="21">
        <v>54</v>
      </c>
      <c r="M39" s="21">
        <v>54</v>
      </c>
      <c r="O39" s="24" t="s">
        <v>1115</v>
      </c>
      <c r="P39" s="24">
        <v>1</v>
      </c>
      <c r="Q39" s="24">
        <v>30</v>
      </c>
      <c r="R39" s="24">
        <v>5000</v>
      </c>
      <c r="S39" s="24" t="s">
        <v>1115</v>
      </c>
      <c r="T39" s="21">
        <v>54</v>
      </c>
      <c r="U39" s="21">
        <v>54</v>
      </c>
      <c r="V39" s="1">
        <f t="shared" si="4"/>
        <v>36</v>
      </c>
    </row>
    <row r="40" spans="1:22" ht="16.5" x14ac:dyDescent="0.35">
      <c r="A40" s="1" t="s">
        <v>39</v>
      </c>
      <c r="B40" s="10">
        <v>31</v>
      </c>
      <c r="C40" s="11" t="s">
        <v>431</v>
      </c>
      <c r="D40" s="11"/>
      <c r="E40" s="14" t="s">
        <v>1063</v>
      </c>
      <c r="F40" s="11" t="s">
        <v>432</v>
      </c>
      <c r="G40" s="11" t="s">
        <v>86</v>
      </c>
      <c r="H40" s="11" t="s">
        <v>926</v>
      </c>
      <c r="I40" s="25"/>
      <c r="L40" s="21">
        <v>13</v>
      </c>
      <c r="M40" s="21">
        <v>13</v>
      </c>
      <c r="O40" s="1" t="s">
        <v>1113</v>
      </c>
      <c r="P40" s="1">
        <v>5</v>
      </c>
      <c r="Q40" s="1"/>
      <c r="R40" s="1"/>
      <c r="S40" s="1" t="s">
        <v>1113</v>
      </c>
      <c r="T40" s="21">
        <v>13</v>
      </c>
      <c r="U40" s="21">
        <v>13</v>
      </c>
      <c r="V40" s="1">
        <f t="shared" si="4"/>
        <v>37</v>
      </c>
    </row>
    <row r="41" spans="1:22" ht="16.5" x14ac:dyDescent="0.35">
      <c r="A41" s="1" t="s">
        <v>39</v>
      </c>
      <c r="B41" s="10">
        <v>32</v>
      </c>
      <c r="C41" s="11" t="s">
        <v>433</v>
      </c>
      <c r="D41" s="11"/>
      <c r="E41" s="14" t="s">
        <v>1063</v>
      </c>
      <c r="F41" s="11" t="s">
        <v>432</v>
      </c>
      <c r="G41" s="11" t="s">
        <v>86</v>
      </c>
      <c r="H41" s="11" t="s">
        <v>926</v>
      </c>
      <c r="I41" s="25"/>
      <c r="L41" s="21">
        <v>13</v>
      </c>
      <c r="M41" s="21">
        <v>13</v>
      </c>
      <c r="O41" s="1" t="s">
        <v>1113</v>
      </c>
      <c r="P41" s="1">
        <v>5</v>
      </c>
      <c r="Q41" s="1"/>
      <c r="R41" s="1"/>
      <c r="S41" s="1" t="s">
        <v>1113</v>
      </c>
      <c r="T41" s="21">
        <v>13</v>
      </c>
      <c r="U41" s="21">
        <v>13</v>
      </c>
      <c r="V41" s="1">
        <f t="shared" si="4"/>
        <v>37</v>
      </c>
    </row>
    <row r="42" spans="1:22" ht="16.5" x14ac:dyDescent="0.35">
      <c r="A42" s="1" t="s">
        <v>39</v>
      </c>
      <c r="B42" s="10">
        <v>33</v>
      </c>
      <c r="C42" s="11" t="s">
        <v>434</v>
      </c>
      <c r="D42" s="11"/>
      <c r="E42" s="14" t="s">
        <v>1063</v>
      </c>
      <c r="F42" s="11" t="s">
        <v>432</v>
      </c>
      <c r="G42" s="11" t="s">
        <v>86</v>
      </c>
      <c r="H42" s="11" t="s">
        <v>1003</v>
      </c>
      <c r="I42" s="25" t="s">
        <v>1004</v>
      </c>
      <c r="L42" s="21">
        <v>13</v>
      </c>
      <c r="M42" s="21">
        <v>13</v>
      </c>
      <c r="O42" s="1" t="s">
        <v>1113</v>
      </c>
      <c r="P42" s="1">
        <v>5</v>
      </c>
      <c r="Q42" s="1"/>
      <c r="R42" s="1"/>
      <c r="S42" s="1" t="s">
        <v>1113</v>
      </c>
      <c r="T42" s="21">
        <v>13</v>
      </c>
      <c r="U42" s="21">
        <v>13</v>
      </c>
      <c r="V42" s="1">
        <f t="shared" si="4"/>
        <v>37</v>
      </c>
    </row>
    <row r="43" spans="1:22" ht="16.5" x14ac:dyDescent="0.35">
      <c r="A43" s="1" t="s">
        <v>39</v>
      </c>
      <c r="B43" s="10">
        <v>34</v>
      </c>
      <c r="C43" s="11" t="s">
        <v>435</v>
      </c>
      <c r="D43" s="11"/>
      <c r="E43" s="14" t="s">
        <v>1063</v>
      </c>
      <c r="F43" s="11" t="s">
        <v>432</v>
      </c>
      <c r="G43" s="11" t="s">
        <v>86</v>
      </c>
      <c r="H43" s="11" t="s">
        <v>1003</v>
      </c>
      <c r="I43" s="25" t="s">
        <v>1005</v>
      </c>
      <c r="L43" s="21">
        <v>13</v>
      </c>
      <c r="M43" s="21">
        <v>13</v>
      </c>
      <c r="O43" s="1" t="s">
        <v>1113</v>
      </c>
      <c r="P43" s="1">
        <v>5</v>
      </c>
      <c r="Q43" s="1"/>
      <c r="R43" s="1"/>
      <c r="S43" s="1" t="s">
        <v>1113</v>
      </c>
      <c r="T43" s="21">
        <v>13</v>
      </c>
      <c r="U43" s="21">
        <v>13</v>
      </c>
      <c r="V43" s="1">
        <f t="shared" si="4"/>
        <v>37</v>
      </c>
    </row>
    <row r="44" spans="1:22" ht="24" x14ac:dyDescent="0.35">
      <c r="A44" s="1" t="s">
        <v>39</v>
      </c>
      <c r="B44" s="10">
        <v>35</v>
      </c>
      <c r="C44" s="11" t="s">
        <v>436</v>
      </c>
      <c r="D44" s="11"/>
      <c r="E44" s="14" t="s">
        <v>1063</v>
      </c>
      <c r="F44" s="11" t="s">
        <v>432</v>
      </c>
      <c r="G44" s="11" t="s">
        <v>86</v>
      </c>
      <c r="H44" s="11" t="s">
        <v>923</v>
      </c>
      <c r="I44" s="25"/>
      <c r="L44" s="21"/>
      <c r="M44" s="21"/>
      <c r="O44" s="1"/>
      <c r="P44" s="1"/>
      <c r="Q44" s="1"/>
      <c r="R44" s="1"/>
      <c r="S44" s="1"/>
      <c r="T44" s="21"/>
      <c r="U44" s="21"/>
      <c r="V44" s="1">
        <f t="shared" si="4"/>
        <v>37</v>
      </c>
    </row>
    <row r="45" spans="1:22" ht="16.5" x14ac:dyDescent="0.35">
      <c r="A45" s="1" t="s">
        <v>39</v>
      </c>
      <c r="B45" s="10">
        <v>36</v>
      </c>
      <c r="C45" s="11" t="s">
        <v>437</v>
      </c>
      <c r="D45" s="11"/>
      <c r="E45" s="14" t="s">
        <v>1064</v>
      </c>
      <c r="F45" s="11" t="s">
        <v>432</v>
      </c>
      <c r="G45" s="11" t="s">
        <v>86</v>
      </c>
      <c r="H45" s="11" t="s">
        <v>1006</v>
      </c>
      <c r="I45" s="25"/>
      <c r="L45" s="21">
        <v>13</v>
      </c>
      <c r="M45" s="21">
        <v>13</v>
      </c>
      <c r="O45" s="1" t="s">
        <v>1113</v>
      </c>
      <c r="P45" s="1">
        <v>5</v>
      </c>
      <c r="Q45" s="1"/>
      <c r="R45" s="1"/>
      <c r="S45" s="1" t="s">
        <v>1113</v>
      </c>
      <c r="T45" s="21">
        <v>13</v>
      </c>
      <c r="U45" s="21">
        <v>13</v>
      </c>
      <c r="V45" s="1">
        <f t="shared" si="4"/>
        <v>38</v>
      </c>
    </row>
    <row r="46" spans="1:22" ht="16.5" x14ac:dyDescent="0.35">
      <c r="A46" s="1" t="s">
        <v>39</v>
      </c>
      <c r="B46" s="10">
        <v>37</v>
      </c>
      <c r="C46" s="11" t="s">
        <v>438</v>
      </c>
      <c r="D46" s="11"/>
      <c r="E46" s="14" t="s">
        <v>1064</v>
      </c>
      <c r="F46" s="11" t="s">
        <v>432</v>
      </c>
      <c r="G46" s="11" t="s">
        <v>86</v>
      </c>
      <c r="H46" s="11" t="s">
        <v>1006</v>
      </c>
      <c r="I46" s="25"/>
      <c r="L46" s="21">
        <v>13</v>
      </c>
      <c r="M46" s="21">
        <v>13</v>
      </c>
      <c r="O46" s="1" t="s">
        <v>1113</v>
      </c>
      <c r="P46" s="1">
        <v>5</v>
      </c>
      <c r="Q46" s="1"/>
      <c r="R46" s="1"/>
      <c r="S46" s="1" t="s">
        <v>1113</v>
      </c>
      <c r="T46" s="21">
        <v>13</v>
      </c>
      <c r="U46" s="21">
        <v>13</v>
      </c>
      <c r="V46" s="1">
        <f t="shared" si="4"/>
        <v>38</v>
      </c>
    </row>
    <row r="47" spans="1:22" ht="16.5" x14ac:dyDescent="0.35">
      <c r="A47" s="1" t="s">
        <v>39</v>
      </c>
      <c r="B47" s="10">
        <v>38</v>
      </c>
      <c r="C47" s="11" t="s">
        <v>439</v>
      </c>
      <c r="D47" s="11"/>
      <c r="E47" s="14" t="s">
        <v>1064</v>
      </c>
      <c r="F47" s="11" t="s">
        <v>432</v>
      </c>
      <c r="G47" s="11" t="s">
        <v>86</v>
      </c>
      <c r="H47" s="11" t="s">
        <v>1006</v>
      </c>
      <c r="I47" s="25"/>
      <c r="L47" s="21">
        <v>13</v>
      </c>
      <c r="M47" s="21">
        <v>13</v>
      </c>
      <c r="O47" s="1" t="s">
        <v>1113</v>
      </c>
      <c r="P47" s="1">
        <v>5</v>
      </c>
      <c r="Q47" s="1"/>
      <c r="R47" s="1"/>
      <c r="S47" s="1" t="s">
        <v>1113</v>
      </c>
      <c r="T47" s="21">
        <v>13</v>
      </c>
      <c r="U47" s="21">
        <v>13</v>
      </c>
      <c r="V47" s="1">
        <f t="shared" si="4"/>
        <v>38</v>
      </c>
    </row>
    <row r="48" spans="1:22" ht="16.5" x14ac:dyDescent="0.35">
      <c r="A48" s="1" t="s">
        <v>39</v>
      </c>
      <c r="B48" s="10">
        <v>39</v>
      </c>
      <c r="C48" s="11" t="s">
        <v>440</v>
      </c>
      <c r="D48" s="11"/>
      <c r="E48" s="14" t="s">
        <v>1064</v>
      </c>
      <c r="F48" s="11" t="s">
        <v>432</v>
      </c>
      <c r="G48" s="11" t="s">
        <v>86</v>
      </c>
      <c r="H48" s="11" t="s">
        <v>1017</v>
      </c>
      <c r="I48" s="25"/>
      <c r="L48" s="21">
        <v>13</v>
      </c>
      <c r="M48" s="21">
        <v>13</v>
      </c>
      <c r="O48" s="1" t="s">
        <v>1113</v>
      </c>
      <c r="P48" s="1">
        <v>5</v>
      </c>
      <c r="Q48" s="1"/>
      <c r="R48" s="1"/>
      <c r="S48" s="1" t="s">
        <v>1113</v>
      </c>
      <c r="T48" s="21">
        <v>13</v>
      </c>
      <c r="U48" s="21">
        <v>13</v>
      </c>
      <c r="V48" s="1">
        <f t="shared" si="4"/>
        <v>38</v>
      </c>
    </row>
    <row r="49" spans="1:22" ht="16.5" x14ac:dyDescent="0.35">
      <c r="A49" s="1" t="s">
        <v>39</v>
      </c>
      <c r="B49" s="10">
        <v>40</v>
      </c>
      <c r="C49" s="11" t="s">
        <v>441</v>
      </c>
      <c r="D49" s="11"/>
      <c r="E49" s="14" t="s">
        <v>1064</v>
      </c>
      <c r="F49" s="11" t="s">
        <v>432</v>
      </c>
      <c r="G49" s="11" t="s">
        <v>86</v>
      </c>
      <c r="H49" s="19" t="s">
        <v>1138</v>
      </c>
      <c r="I49" s="19"/>
      <c r="L49" s="21">
        <v>54</v>
      </c>
      <c r="M49" s="21">
        <v>54</v>
      </c>
      <c r="O49" s="24" t="s">
        <v>1115</v>
      </c>
      <c r="P49" s="24">
        <v>1</v>
      </c>
      <c r="Q49" s="24">
        <v>30</v>
      </c>
      <c r="R49" s="24">
        <v>5000</v>
      </c>
      <c r="S49" s="24" t="s">
        <v>1115</v>
      </c>
      <c r="T49" s="21">
        <v>54</v>
      </c>
      <c r="U49" s="21">
        <v>54</v>
      </c>
      <c r="V49" s="1">
        <f t="shared" si="4"/>
        <v>38</v>
      </c>
    </row>
    <row r="50" spans="1:22" ht="16.5" x14ac:dyDescent="0.35">
      <c r="A50" s="1" t="s">
        <v>39</v>
      </c>
      <c r="B50" s="10">
        <v>41</v>
      </c>
      <c r="C50" s="11" t="s">
        <v>442</v>
      </c>
      <c r="D50" s="11"/>
      <c r="E50" s="14" t="s">
        <v>1065</v>
      </c>
      <c r="F50" s="11" t="s">
        <v>443</v>
      </c>
      <c r="G50" s="11" t="s">
        <v>86</v>
      </c>
      <c r="H50" s="11" t="s">
        <v>1011</v>
      </c>
      <c r="I50" s="25"/>
      <c r="L50" s="21">
        <v>13</v>
      </c>
      <c r="M50" s="21">
        <v>13</v>
      </c>
      <c r="O50" s="1" t="s">
        <v>1113</v>
      </c>
      <c r="P50" s="1">
        <v>5</v>
      </c>
      <c r="Q50" s="1"/>
      <c r="R50" s="1"/>
      <c r="S50" s="1" t="s">
        <v>1113</v>
      </c>
      <c r="T50" s="21">
        <v>13</v>
      </c>
      <c r="U50" s="21">
        <v>13</v>
      </c>
      <c r="V50" s="1">
        <f t="shared" si="4"/>
        <v>39</v>
      </c>
    </row>
    <row r="51" spans="1:22" ht="16.5" x14ac:dyDescent="0.35">
      <c r="A51" s="1" t="s">
        <v>39</v>
      </c>
      <c r="B51" s="10">
        <v>42</v>
      </c>
      <c r="C51" s="11" t="s">
        <v>444</v>
      </c>
      <c r="D51" s="11"/>
      <c r="E51" s="14" t="s">
        <v>1065</v>
      </c>
      <c r="F51" s="11" t="s">
        <v>443</v>
      </c>
      <c r="G51" s="11" t="s">
        <v>86</v>
      </c>
      <c r="H51" s="11" t="s">
        <v>927</v>
      </c>
      <c r="I51" s="25"/>
      <c r="L51" s="21">
        <v>13</v>
      </c>
      <c r="M51" s="21">
        <v>13</v>
      </c>
      <c r="O51" s="1" t="s">
        <v>1113</v>
      </c>
      <c r="P51" s="1">
        <v>5</v>
      </c>
      <c r="Q51" s="1"/>
      <c r="R51" s="1"/>
      <c r="S51" s="1" t="s">
        <v>1113</v>
      </c>
      <c r="T51" s="21">
        <v>13</v>
      </c>
      <c r="U51" s="21">
        <v>13</v>
      </c>
      <c r="V51" s="1">
        <f t="shared" si="4"/>
        <v>39</v>
      </c>
    </row>
    <row r="52" spans="1:22" ht="16.5" x14ac:dyDescent="0.35">
      <c r="A52" s="1" t="s">
        <v>39</v>
      </c>
      <c r="B52" s="10">
        <v>43</v>
      </c>
      <c r="C52" s="11" t="s">
        <v>445</v>
      </c>
      <c r="D52" s="11"/>
      <c r="E52" s="14" t="s">
        <v>1065</v>
      </c>
      <c r="F52" s="11" t="s">
        <v>443</v>
      </c>
      <c r="G52" s="11" t="s">
        <v>86</v>
      </c>
      <c r="H52" s="11" t="s">
        <v>1013</v>
      </c>
      <c r="I52" s="26" t="s">
        <v>1012</v>
      </c>
      <c r="L52" s="21">
        <v>13</v>
      </c>
      <c r="M52" s="21">
        <v>13</v>
      </c>
      <c r="O52" s="1" t="s">
        <v>1113</v>
      </c>
      <c r="P52" s="1">
        <v>5</v>
      </c>
      <c r="Q52" s="1"/>
      <c r="R52" s="1"/>
      <c r="S52" s="1" t="s">
        <v>1113</v>
      </c>
      <c r="T52" s="21">
        <v>13</v>
      </c>
      <c r="U52" s="21">
        <v>13</v>
      </c>
      <c r="V52" s="1">
        <f t="shared" si="4"/>
        <v>39</v>
      </c>
    </row>
    <row r="53" spans="1:22" ht="16.5" x14ac:dyDescent="0.35">
      <c r="A53" s="1" t="s">
        <v>39</v>
      </c>
      <c r="B53" s="10">
        <v>44</v>
      </c>
      <c r="C53" s="11" t="s">
        <v>446</v>
      </c>
      <c r="D53" s="11"/>
      <c r="E53" s="14" t="s">
        <v>1065</v>
      </c>
      <c r="F53" s="11" t="s">
        <v>443</v>
      </c>
      <c r="G53" s="11" t="s">
        <v>86</v>
      </c>
      <c r="H53" s="11" t="s">
        <v>1013</v>
      </c>
      <c r="I53" s="25"/>
      <c r="L53" s="21">
        <v>13</v>
      </c>
      <c r="M53" s="21">
        <v>13</v>
      </c>
      <c r="O53" s="1" t="s">
        <v>1113</v>
      </c>
      <c r="P53" s="1">
        <v>5</v>
      </c>
      <c r="Q53" s="1"/>
      <c r="R53" s="1"/>
      <c r="S53" s="1" t="s">
        <v>1113</v>
      </c>
      <c r="T53" s="21">
        <v>13</v>
      </c>
      <c r="U53" s="21">
        <v>13</v>
      </c>
      <c r="V53" s="1">
        <f t="shared" si="4"/>
        <v>39</v>
      </c>
    </row>
    <row r="54" spans="1:22" ht="24" x14ac:dyDescent="0.35">
      <c r="A54" s="1" t="s">
        <v>39</v>
      </c>
      <c r="B54" s="10">
        <v>45</v>
      </c>
      <c r="C54" s="11" t="s">
        <v>447</v>
      </c>
      <c r="D54" s="11"/>
      <c r="E54" s="14" t="s">
        <v>1065</v>
      </c>
      <c r="F54" s="11" t="s">
        <v>443</v>
      </c>
      <c r="G54" s="11" t="s">
        <v>86</v>
      </c>
      <c r="H54" s="11" t="s">
        <v>923</v>
      </c>
      <c r="I54" s="25"/>
      <c r="L54" s="21"/>
      <c r="M54" s="21"/>
      <c r="O54" s="1"/>
      <c r="P54" s="1"/>
      <c r="Q54" s="1"/>
      <c r="R54" s="1"/>
      <c r="S54" s="1"/>
      <c r="T54" s="21"/>
      <c r="U54" s="21"/>
      <c r="V54" s="1">
        <f t="shared" si="4"/>
        <v>39</v>
      </c>
    </row>
    <row r="55" spans="1:22" ht="16.5" x14ac:dyDescent="0.35">
      <c r="A55" s="1" t="s">
        <v>39</v>
      </c>
      <c r="B55" s="10">
        <v>46</v>
      </c>
      <c r="C55" s="11" t="s">
        <v>448</v>
      </c>
      <c r="D55" s="11"/>
      <c r="E55" s="14" t="s">
        <v>1066</v>
      </c>
      <c r="F55" s="11" t="s">
        <v>443</v>
      </c>
      <c r="G55" s="11" t="s">
        <v>86</v>
      </c>
      <c r="H55" s="11" t="s">
        <v>1014</v>
      </c>
      <c r="I55" s="25" t="s">
        <v>1015</v>
      </c>
      <c r="L55" s="21">
        <v>13</v>
      </c>
      <c r="M55" s="21">
        <v>13</v>
      </c>
      <c r="O55" s="1" t="s">
        <v>1113</v>
      </c>
      <c r="P55" s="1">
        <v>5</v>
      </c>
      <c r="Q55" s="1"/>
      <c r="R55" s="1"/>
      <c r="S55" s="1" t="s">
        <v>1113</v>
      </c>
      <c r="T55" s="21">
        <v>13</v>
      </c>
      <c r="U55" s="21">
        <v>13</v>
      </c>
      <c r="V55" s="1">
        <f t="shared" si="4"/>
        <v>40</v>
      </c>
    </row>
    <row r="56" spans="1:22" ht="16.5" x14ac:dyDescent="0.35">
      <c r="A56" s="1" t="s">
        <v>39</v>
      </c>
      <c r="B56" s="10">
        <v>47</v>
      </c>
      <c r="C56" s="11" t="s">
        <v>449</v>
      </c>
      <c r="D56" s="11"/>
      <c r="E56" s="14" t="s">
        <v>1066</v>
      </c>
      <c r="F56" s="11" t="s">
        <v>443</v>
      </c>
      <c r="G56" s="11" t="s">
        <v>86</v>
      </c>
      <c r="H56" s="11" t="s">
        <v>928</v>
      </c>
      <c r="I56" s="25"/>
      <c r="L56" s="21">
        <v>13</v>
      </c>
      <c r="M56" s="21">
        <v>13</v>
      </c>
      <c r="O56" s="1" t="s">
        <v>1113</v>
      </c>
      <c r="P56" s="1">
        <v>5</v>
      </c>
      <c r="Q56" s="1"/>
      <c r="R56" s="1"/>
      <c r="S56" s="1" t="s">
        <v>1113</v>
      </c>
      <c r="T56" s="21">
        <v>13</v>
      </c>
      <c r="U56" s="21">
        <v>13</v>
      </c>
      <c r="V56" s="1">
        <f t="shared" si="4"/>
        <v>40</v>
      </c>
    </row>
    <row r="57" spans="1:22" ht="16.5" x14ac:dyDescent="0.35">
      <c r="A57" s="1" t="s">
        <v>39</v>
      </c>
      <c r="B57" s="10">
        <v>48</v>
      </c>
      <c r="C57" s="11" t="s">
        <v>450</v>
      </c>
      <c r="D57" s="11"/>
      <c r="E57" s="14" t="s">
        <v>1066</v>
      </c>
      <c r="F57" s="11" t="s">
        <v>443</v>
      </c>
      <c r="G57" s="11" t="s">
        <v>86</v>
      </c>
      <c r="H57" s="11" t="s">
        <v>928</v>
      </c>
      <c r="I57" s="25"/>
      <c r="L57" s="21">
        <v>13</v>
      </c>
      <c r="M57" s="21">
        <v>13</v>
      </c>
      <c r="O57" s="1" t="s">
        <v>1113</v>
      </c>
      <c r="P57" s="1">
        <v>5</v>
      </c>
      <c r="Q57" s="1"/>
      <c r="R57" s="1"/>
      <c r="S57" s="1" t="s">
        <v>1113</v>
      </c>
      <c r="T57" s="21">
        <v>13</v>
      </c>
      <c r="U57" s="21">
        <v>13</v>
      </c>
      <c r="V57" s="1">
        <f t="shared" si="4"/>
        <v>40</v>
      </c>
    </row>
    <row r="58" spans="1:22" ht="16.5" x14ac:dyDescent="0.35">
      <c r="A58" s="1" t="s">
        <v>39</v>
      </c>
      <c r="B58" s="10">
        <v>49</v>
      </c>
      <c r="C58" s="11" t="s">
        <v>451</v>
      </c>
      <c r="D58" s="11"/>
      <c r="E58" s="14" t="s">
        <v>1066</v>
      </c>
      <c r="F58" s="11" t="s">
        <v>443</v>
      </c>
      <c r="G58" s="11" t="s">
        <v>86</v>
      </c>
      <c r="H58" s="11" t="s">
        <v>1016</v>
      </c>
      <c r="I58" s="25"/>
      <c r="L58" s="21">
        <v>13</v>
      </c>
      <c r="M58" s="21">
        <v>13</v>
      </c>
      <c r="O58" s="1" t="s">
        <v>1113</v>
      </c>
      <c r="P58" s="1">
        <v>5</v>
      </c>
      <c r="Q58" s="1"/>
      <c r="R58" s="1"/>
      <c r="S58" s="1" t="s">
        <v>1113</v>
      </c>
      <c r="T58" s="21">
        <v>13</v>
      </c>
      <c r="U58" s="21">
        <v>13</v>
      </c>
      <c r="V58" s="1">
        <f t="shared" si="4"/>
        <v>40</v>
      </c>
    </row>
    <row r="59" spans="1:22" ht="16.5" x14ac:dyDescent="0.35">
      <c r="A59" s="1" t="s">
        <v>39</v>
      </c>
      <c r="B59" s="10">
        <v>50</v>
      </c>
      <c r="C59" s="11" t="s">
        <v>452</v>
      </c>
      <c r="D59" s="11"/>
      <c r="E59" s="14" t="s">
        <v>1066</v>
      </c>
      <c r="F59" s="11" t="s">
        <v>443</v>
      </c>
      <c r="G59" s="11" t="s">
        <v>86</v>
      </c>
      <c r="H59" s="11" t="s">
        <v>1102</v>
      </c>
      <c r="I59" s="19"/>
      <c r="L59" s="21">
        <v>54</v>
      </c>
      <c r="M59" s="21">
        <v>54</v>
      </c>
      <c r="O59" s="24" t="s">
        <v>1115</v>
      </c>
      <c r="P59" s="24">
        <v>1</v>
      </c>
      <c r="Q59" s="24">
        <v>15</v>
      </c>
      <c r="R59" s="24">
        <v>5000</v>
      </c>
      <c r="S59" s="24" t="s">
        <v>1115</v>
      </c>
      <c r="T59" s="21">
        <v>54</v>
      </c>
      <c r="U59" s="21">
        <v>54</v>
      </c>
      <c r="V59" s="1">
        <f t="shared" si="4"/>
        <v>40</v>
      </c>
    </row>
    <row r="60" spans="1:22" x14ac:dyDescent="0.15">
      <c r="A60" s="1"/>
      <c r="B60" s="10"/>
    </row>
  </sheetData>
  <phoneticPr fontId="35" type="noConversion"/>
  <conditionalFormatting sqref="B1:B3 B5:B60">
    <cfRule type="duplicateValues" dxfId="10" priority="1"/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67"/>
  <sheetViews>
    <sheetView zoomScaleNormal="100" workbookViewId="0">
      <pane xSplit="3" ySplit="9" topLeftCell="D37" activePane="bottomRight" state="frozen"/>
      <selection pane="topRight"/>
      <selection pane="bottomLeft"/>
      <selection pane="bottomRight" activeCell="G31" sqref="G31"/>
    </sheetView>
  </sheetViews>
  <sheetFormatPr defaultColWidth="9" defaultRowHeight="13.5" x14ac:dyDescent="0.15"/>
  <cols>
    <col min="2" max="2" width="4.5" customWidth="1"/>
    <col min="3" max="3" width="7.875" customWidth="1"/>
    <col min="4" max="4" width="6.875" customWidth="1"/>
    <col min="5" max="5" width="42" customWidth="1"/>
    <col min="6" max="6" width="12.875" customWidth="1"/>
    <col min="7" max="7" width="15.125" customWidth="1"/>
    <col min="8" max="8" width="93.25" customWidth="1"/>
    <col min="9" max="9" width="9.375" customWidth="1"/>
    <col min="10" max="10" width="13.125" customWidth="1"/>
    <col min="11" max="11" width="14.5" style="1" customWidth="1"/>
    <col min="15" max="15" width="84" customWidth="1"/>
    <col min="16" max="16" width="15.375" customWidth="1"/>
    <col min="17" max="17" width="10.5" customWidth="1"/>
    <col min="19" max="19" width="67.5" customWidth="1"/>
    <col min="21" max="21" width="10.875" bestFit="1" customWidth="1"/>
  </cols>
  <sheetData>
    <row r="1" spans="1:22" x14ac:dyDescent="0.15">
      <c r="A1" s="2" t="s">
        <v>38</v>
      </c>
      <c r="B1" s="3" t="s">
        <v>39</v>
      </c>
      <c r="C1" s="3" t="s">
        <v>39</v>
      </c>
      <c r="D1" s="3" t="s">
        <v>39</v>
      </c>
      <c r="E1" s="3" t="s">
        <v>39</v>
      </c>
      <c r="F1" s="3" t="s">
        <v>39</v>
      </c>
      <c r="G1" s="3" t="s">
        <v>39</v>
      </c>
      <c r="H1" s="3" t="s">
        <v>39</v>
      </c>
      <c r="I1" s="3" t="s">
        <v>39</v>
      </c>
      <c r="J1" s="3" t="s">
        <v>39</v>
      </c>
      <c r="K1" s="3" t="s">
        <v>39</v>
      </c>
      <c r="L1" s="3" t="s">
        <v>39</v>
      </c>
      <c r="M1" s="3" t="s">
        <v>39</v>
      </c>
      <c r="N1" s="3" t="s">
        <v>39</v>
      </c>
      <c r="O1" s="3" t="s">
        <v>39</v>
      </c>
      <c r="P1" s="3" t="s">
        <v>39</v>
      </c>
      <c r="Q1" s="3" t="s">
        <v>39</v>
      </c>
      <c r="R1" s="3" t="s">
        <v>39</v>
      </c>
      <c r="S1" s="3" t="s">
        <v>39</v>
      </c>
      <c r="T1" s="3" t="s">
        <v>39</v>
      </c>
      <c r="U1" s="3" t="s">
        <v>39</v>
      </c>
      <c r="V1" s="3" t="s">
        <v>39</v>
      </c>
    </row>
    <row r="2" spans="1:22" x14ac:dyDescent="0.15">
      <c r="A2" s="2" t="s">
        <v>40</v>
      </c>
      <c r="B2" s="3" t="s">
        <v>39</v>
      </c>
      <c r="C2" s="3" t="s">
        <v>39</v>
      </c>
      <c r="D2" s="3" t="s">
        <v>39</v>
      </c>
      <c r="E2" s="3" t="s">
        <v>39</v>
      </c>
      <c r="F2" s="3" t="s">
        <v>39</v>
      </c>
      <c r="G2" s="3" t="s">
        <v>39</v>
      </c>
      <c r="H2" s="3" t="s">
        <v>39</v>
      </c>
      <c r="I2" s="3" t="s">
        <v>39</v>
      </c>
      <c r="J2" s="3" t="s">
        <v>39</v>
      </c>
      <c r="K2" s="3" t="s">
        <v>39</v>
      </c>
      <c r="L2" s="3" t="s">
        <v>39</v>
      </c>
      <c r="M2" s="3" t="s">
        <v>39</v>
      </c>
      <c r="N2" s="3" t="s">
        <v>39</v>
      </c>
      <c r="O2" s="3" t="s">
        <v>39</v>
      </c>
      <c r="P2" s="3" t="s">
        <v>39</v>
      </c>
      <c r="Q2" s="3" t="s">
        <v>39</v>
      </c>
      <c r="R2" s="3" t="s">
        <v>39</v>
      </c>
      <c r="S2" s="3" t="s">
        <v>39</v>
      </c>
      <c r="T2" s="3" t="s">
        <v>39</v>
      </c>
      <c r="U2" s="3" t="s">
        <v>39</v>
      </c>
      <c r="V2" s="3" t="s">
        <v>39</v>
      </c>
    </row>
    <row r="3" spans="1:22" ht="14.25" x14ac:dyDescent="0.15">
      <c r="A3" s="4" t="s">
        <v>39</v>
      </c>
      <c r="B3" s="4" t="s">
        <v>41</v>
      </c>
      <c r="C3" s="5" t="s">
        <v>42</v>
      </c>
      <c r="D3" s="5" t="s">
        <v>42</v>
      </c>
      <c r="E3" s="5" t="s">
        <v>42</v>
      </c>
      <c r="F3" s="5" t="s">
        <v>42</v>
      </c>
      <c r="G3" s="5" t="s">
        <v>42</v>
      </c>
      <c r="H3" s="5" t="s">
        <v>42</v>
      </c>
      <c r="I3" s="5" t="s">
        <v>42</v>
      </c>
      <c r="J3" s="5" t="s">
        <v>41</v>
      </c>
      <c r="K3" s="5" t="s">
        <v>41</v>
      </c>
      <c r="L3" s="5" t="s">
        <v>41</v>
      </c>
      <c r="M3" s="5" t="s">
        <v>41</v>
      </c>
      <c r="N3" s="5" t="s">
        <v>41</v>
      </c>
      <c r="O3" s="5" t="s">
        <v>42</v>
      </c>
      <c r="P3" s="5" t="s">
        <v>41</v>
      </c>
      <c r="Q3" s="5" t="s">
        <v>41</v>
      </c>
      <c r="R3" s="5" t="s">
        <v>41</v>
      </c>
      <c r="S3" s="5" t="s">
        <v>42</v>
      </c>
      <c r="T3" s="5" t="s">
        <v>41</v>
      </c>
      <c r="U3" s="5" t="s">
        <v>981</v>
      </c>
      <c r="V3" s="5" t="s">
        <v>989</v>
      </c>
    </row>
    <row r="4" spans="1:22" ht="14.25" x14ac:dyDescent="0.15">
      <c r="A4" s="4"/>
      <c r="B4" s="4" t="s">
        <v>43</v>
      </c>
      <c r="C4" s="4" t="s">
        <v>188</v>
      </c>
      <c r="D4" s="4" t="s">
        <v>44</v>
      </c>
      <c r="E4" s="4" t="s">
        <v>189</v>
      </c>
      <c r="F4" s="4" t="s">
        <v>190</v>
      </c>
      <c r="G4" s="4" t="s">
        <v>191</v>
      </c>
      <c r="H4" s="4" t="s">
        <v>192</v>
      </c>
      <c r="I4" s="4" t="s">
        <v>193</v>
      </c>
      <c r="J4" s="5" t="s">
        <v>194</v>
      </c>
      <c r="K4" s="5" t="s">
        <v>195</v>
      </c>
      <c r="L4" s="5" t="s">
        <v>196</v>
      </c>
      <c r="M4" s="5" t="s">
        <v>197</v>
      </c>
      <c r="N4" s="5" t="s">
        <v>198</v>
      </c>
      <c r="O4" s="5" t="s">
        <v>199</v>
      </c>
      <c r="P4" s="5" t="s">
        <v>200</v>
      </c>
      <c r="Q4" s="5" t="s">
        <v>201</v>
      </c>
      <c r="R4" s="5" t="s">
        <v>202</v>
      </c>
      <c r="S4" s="5" t="s">
        <v>203</v>
      </c>
      <c r="T4" s="5" t="s">
        <v>204</v>
      </c>
      <c r="U4" s="5" t="s">
        <v>982</v>
      </c>
      <c r="V4" s="5" t="s">
        <v>990</v>
      </c>
    </row>
    <row r="5" spans="1:22" ht="14.25" x14ac:dyDescent="0.15">
      <c r="A5" s="4"/>
      <c r="B5" s="4" t="str">
        <f>IF(B3="","",IF(B3="INT","i",IF(B3="FLOAT","f",IF(B3="STRING","s"))))</f>
        <v>i</v>
      </c>
      <c r="C5" s="5" t="s">
        <v>68</v>
      </c>
      <c r="D5" s="5" t="s">
        <v>68</v>
      </c>
      <c r="E5" s="5" t="s">
        <v>68</v>
      </c>
      <c r="F5" s="5" t="s">
        <v>68</v>
      </c>
      <c r="G5" s="5" t="s">
        <v>68</v>
      </c>
      <c r="H5" s="5" t="s">
        <v>68</v>
      </c>
      <c r="I5" s="5" t="s">
        <v>68</v>
      </c>
      <c r="J5" s="5" t="s">
        <v>67</v>
      </c>
      <c r="K5" s="5" t="s">
        <v>67</v>
      </c>
      <c r="L5" s="5" t="s">
        <v>67</v>
      </c>
      <c r="M5" s="5" t="s">
        <v>67</v>
      </c>
      <c r="N5" s="5" t="s">
        <v>67</v>
      </c>
      <c r="O5" s="5" t="s">
        <v>68</v>
      </c>
      <c r="P5" s="5" t="s">
        <v>67</v>
      </c>
      <c r="Q5" s="5" t="s">
        <v>67</v>
      </c>
      <c r="R5" s="5" t="s">
        <v>67</v>
      </c>
      <c r="S5" s="5" t="s">
        <v>68</v>
      </c>
      <c r="T5" s="5" t="s">
        <v>67</v>
      </c>
      <c r="U5" s="5" t="s">
        <v>67</v>
      </c>
      <c r="V5" s="5" t="s">
        <v>67</v>
      </c>
    </row>
    <row r="6" spans="1:22" ht="14.25" x14ac:dyDescent="0.15">
      <c r="A6" s="4" t="s">
        <v>39</v>
      </c>
      <c r="B6" s="4" t="str">
        <f t="shared" ref="B6:D6" si="0">B5&amp;B4</f>
        <v>iID</v>
      </c>
      <c r="C6" s="5" t="str">
        <f t="shared" si="0"/>
        <v>sRoomID</v>
      </c>
      <c r="D6" s="5" t="str">
        <f t="shared" si="0"/>
        <v>sNotes</v>
      </c>
      <c r="E6" s="5" t="s">
        <v>205</v>
      </c>
      <c r="F6" s="5" t="str">
        <f t="shared" ref="F6:Q6" si="1">F5&amp;F4</f>
        <v>sMapAttributes</v>
      </c>
      <c r="G6" s="5" t="str">
        <f t="shared" si="1"/>
        <v>sStandardDefence</v>
      </c>
      <c r="H6" s="5" t="str">
        <f t="shared" si="1"/>
        <v>sRoomIDs</v>
      </c>
      <c r="I6" s="5" t="str">
        <f t="shared" si="1"/>
        <v>sRoomIDs1</v>
      </c>
      <c r="J6" s="5" t="str">
        <f t="shared" si="1"/>
        <v>iCheatValue</v>
      </c>
      <c r="K6" s="5" t="str">
        <f t="shared" si="1"/>
        <v>iBattleValue</v>
      </c>
      <c r="L6" s="5" t="str">
        <f t="shared" si="1"/>
        <v>iGoldAdd</v>
      </c>
      <c r="M6" s="5" t="str">
        <f t="shared" si="1"/>
        <v>iExpAdd</v>
      </c>
      <c r="N6" s="5" t="str">
        <f t="shared" si="1"/>
        <v>iAwardHero</v>
      </c>
      <c r="O6" s="5" t="str">
        <f t="shared" si="1"/>
        <v>sOutPut</v>
      </c>
      <c r="P6" s="5" t="str">
        <f t="shared" si="1"/>
        <v>iDropCount</v>
      </c>
      <c r="Q6" s="5" t="str">
        <f t="shared" si="1"/>
        <v>iCatchTime</v>
      </c>
      <c r="R6" s="5" t="str">
        <f t="shared" ref="R6:S6" si="2">R5&amp;R4</f>
        <v>iCatchProb</v>
      </c>
      <c r="S6" s="5" t="str">
        <f t="shared" si="2"/>
        <v>sFirstOutPut</v>
      </c>
      <c r="T6" s="5" t="str">
        <f t="shared" ref="T6:V6" si="3">T5&amp;T4</f>
        <v>iFirstExpAdd</v>
      </c>
      <c r="U6" s="5" t="str">
        <f t="shared" ref="U6" si="4">U5&amp;U4</f>
        <v>iFirstGoldAdd</v>
      </c>
      <c r="V6" s="5" t="str">
        <f t="shared" si="3"/>
        <v>iMonsLv</v>
      </c>
    </row>
    <row r="7" spans="1:22" ht="14.25" x14ac:dyDescent="0.15">
      <c r="A7" s="4"/>
      <c r="B7" s="4" t="s">
        <v>206</v>
      </c>
      <c r="C7" s="6" t="s">
        <v>207</v>
      </c>
      <c r="D7" s="6" t="s">
        <v>208</v>
      </c>
      <c r="E7" s="6" t="s">
        <v>209</v>
      </c>
      <c r="F7" s="6" t="s">
        <v>210</v>
      </c>
      <c r="G7" s="6"/>
      <c r="H7" s="6" t="s">
        <v>211</v>
      </c>
      <c r="I7" s="6" t="s">
        <v>212</v>
      </c>
      <c r="J7" s="6" t="s">
        <v>213</v>
      </c>
      <c r="K7" s="6" t="s">
        <v>214</v>
      </c>
      <c r="L7" s="6" t="s">
        <v>215</v>
      </c>
      <c r="M7" s="6" t="s">
        <v>216</v>
      </c>
      <c r="N7" s="6" t="s">
        <v>217</v>
      </c>
      <c r="O7" s="6" t="s">
        <v>218</v>
      </c>
      <c r="P7" s="6" t="s">
        <v>219</v>
      </c>
      <c r="Q7" s="6" t="s">
        <v>220</v>
      </c>
      <c r="R7" s="6" t="s">
        <v>221</v>
      </c>
      <c r="S7" s="6" t="s">
        <v>222</v>
      </c>
      <c r="T7" s="6" t="s">
        <v>223</v>
      </c>
      <c r="U7" s="6" t="s">
        <v>984</v>
      </c>
      <c r="V7" s="6" t="s">
        <v>991</v>
      </c>
    </row>
    <row r="8" spans="1:22" ht="14.25" x14ac:dyDescent="0.15">
      <c r="A8" s="4" t="s">
        <v>78</v>
      </c>
      <c r="B8" s="4">
        <v>0</v>
      </c>
      <c r="C8" s="6">
        <v>0</v>
      </c>
      <c r="D8" s="6"/>
      <c r="E8" s="6"/>
      <c r="F8" s="6"/>
      <c r="G8" s="6"/>
      <c r="H8" s="6"/>
      <c r="I8" s="6"/>
      <c r="J8" s="6">
        <v>10000</v>
      </c>
      <c r="K8" s="6">
        <v>10000</v>
      </c>
      <c r="L8" s="6">
        <v>0</v>
      </c>
      <c r="M8" s="6">
        <v>0</v>
      </c>
      <c r="N8" s="6"/>
      <c r="O8" s="6"/>
      <c r="P8" s="6">
        <v>0</v>
      </c>
      <c r="Q8" s="6">
        <v>0</v>
      </c>
      <c r="R8" s="6">
        <v>0</v>
      </c>
      <c r="S8" s="6"/>
      <c r="T8" s="6">
        <v>0</v>
      </c>
      <c r="U8" s="6">
        <v>0</v>
      </c>
      <c r="V8" s="6">
        <v>1</v>
      </c>
    </row>
    <row r="9" spans="1:22" ht="14.25" x14ac:dyDescent="0.15">
      <c r="A9" s="7"/>
      <c r="B9" s="7"/>
      <c r="C9" s="8"/>
      <c r="D9" s="8"/>
      <c r="E9" s="9"/>
      <c r="F9" s="8"/>
      <c r="G9" s="8"/>
      <c r="H9" s="8"/>
      <c r="I9" s="8"/>
      <c r="J9" s="8" t="s">
        <v>224</v>
      </c>
      <c r="K9" s="8" t="s">
        <v>224</v>
      </c>
      <c r="L9" s="8"/>
      <c r="M9" s="8"/>
      <c r="N9" s="8"/>
      <c r="O9" s="8" t="s">
        <v>225</v>
      </c>
      <c r="P9" s="8"/>
      <c r="Q9" s="8" t="s">
        <v>284</v>
      </c>
      <c r="R9" s="8" t="s">
        <v>227</v>
      </c>
      <c r="S9" s="8" t="s">
        <v>225</v>
      </c>
      <c r="T9" s="8"/>
      <c r="U9" s="8"/>
      <c r="V9" s="8"/>
    </row>
    <row r="10" spans="1:22" ht="16.5" x14ac:dyDescent="0.35">
      <c r="A10" s="1" t="s">
        <v>39</v>
      </c>
      <c r="B10" s="10">
        <v>1</v>
      </c>
      <c r="C10" s="11" t="s">
        <v>453</v>
      </c>
      <c r="D10" s="12"/>
      <c r="E10" s="14" t="s">
        <v>1126</v>
      </c>
      <c r="F10" s="11" t="s">
        <v>454</v>
      </c>
      <c r="G10" s="11" t="s">
        <v>86</v>
      </c>
      <c r="H10" s="11" t="s">
        <v>929</v>
      </c>
      <c r="I10" s="12"/>
      <c r="L10" s="21">
        <v>19</v>
      </c>
      <c r="M10" s="21">
        <v>19</v>
      </c>
      <c r="O10" s="1" t="s">
        <v>1116</v>
      </c>
      <c r="P10" s="1">
        <v>5</v>
      </c>
      <c r="Q10" s="1"/>
      <c r="R10" s="1"/>
      <c r="S10" s="1" t="s">
        <v>1116</v>
      </c>
      <c r="T10" s="21">
        <v>19</v>
      </c>
      <c r="U10" s="21">
        <v>19</v>
      </c>
      <c r="V10" s="1">
        <v>41</v>
      </c>
    </row>
    <row r="11" spans="1:22" ht="16.5" x14ac:dyDescent="0.35">
      <c r="A11" s="1" t="s">
        <v>39</v>
      </c>
      <c r="B11" s="10">
        <v>2</v>
      </c>
      <c r="C11" s="11" t="s">
        <v>455</v>
      </c>
      <c r="D11" s="12"/>
      <c r="E11" s="14" t="s">
        <v>1125</v>
      </c>
      <c r="F11" s="11" t="s">
        <v>454</v>
      </c>
      <c r="G11" s="11" t="s">
        <v>86</v>
      </c>
      <c r="H11" s="11" t="s">
        <v>929</v>
      </c>
      <c r="I11" s="12"/>
      <c r="L11" s="21">
        <v>19</v>
      </c>
      <c r="M11" s="21">
        <v>19</v>
      </c>
      <c r="O11" s="1" t="s">
        <v>1116</v>
      </c>
      <c r="P11" s="1">
        <v>5</v>
      </c>
      <c r="Q11" s="1"/>
      <c r="R11" s="1"/>
      <c r="S11" s="1" t="s">
        <v>1116</v>
      </c>
      <c r="T11" s="21">
        <v>19</v>
      </c>
      <c r="U11" s="21">
        <v>19</v>
      </c>
      <c r="V11" s="1">
        <v>41</v>
      </c>
    </row>
    <row r="12" spans="1:22" ht="16.5" x14ac:dyDescent="0.35">
      <c r="A12" s="1" t="s">
        <v>39</v>
      </c>
      <c r="B12" s="10">
        <v>3</v>
      </c>
      <c r="C12" s="11" t="s">
        <v>456</v>
      </c>
      <c r="D12" s="12"/>
      <c r="E12" s="14" t="s">
        <v>1067</v>
      </c>
      <c r="F12" s="11" t="s">
        <v>454</v>
      </c>
      <c r="G12" s="11" t="s">
        <v>86</v>
      </c>
      <c r="H12" s="11" t="s">
        <v>929</v>
      </c>
      <c r="I12" s="12"/>
      <c r="L12" s="21">
        <v>19</v>
      </c>
      <c r="M12" s="21">
        <v>19</v>
      </c>
      <c r="O12" s="1" t="s">
        <v>1116</v>
      </c>
      <c r="P12" s="1">
        <v>5</v>
      </c>
      <c r="Q12" s="1"/>
      <c r="R12" s="1"/>
      <c r="S12" s="1" t="s">
        <v>1116</v>
      </c>
      <c r="T12" s="21">
        <v>19</v>
      </c>
      <c r="U12" s="21">
        <v>19</v>
      </c>
      <c r="V12" s="1">
        <v>41</v>
      </c>
    </row>
    <row r="13" spans="1:22" ht="16.5" x14ac:dyDescent="0.35">
      <c r="A13" s="1" t="s">
        <v>39</v>
      </c>
      <c r="B13" s="10">
        <v>4</v>
      </c>
      <c r="C13" s="11" t="s">
        <v>457</v>
      </c>
      <c r="D13" s="12"/>
      <c r="E13" s="14" t="s">
        <v>1067</v>
      </c>
      <c r="F13" s="11" t="s">
        <v>454</v>
      </c>
      <c r="G13" s="11" t="s">
        <v>86</v>
      </c>
      <c r="H13" s="11" t="s">
        <v>929</v>
      </c>
      <c r="I13" s="11"/>
      <c r="L13" s="21">
        <v>19</v>
      </c>
      <c r="M13" s="21">
        <v>19</v>
      </c>
      <c r="O13" s="1" t="s">
        <v>1116</v>
      </c>
      <c r="P13" s="1">
        <v>5</v>
      </c>
      <c r="Q13" s="1"/>
      <c r="R13" s="1"/>
      <c r="S13" s="1" t="s">
        <v>1116</v>
      </c>
      <c r="T13" s="21">
        <v>19</v>
      </c>
      <c r="U13" s="21">
        <v>19</v>
      </c>
      <c r="V13" s="1">
        <v>41</v>
      </c>
    </row>
    <row r="14" spans="1:22" ht="24" x14ac:dyDescent="0.35">
      <c r="A14" s="1" t="s">
        <v>39</v>
      </c>
      <c r="B14" s="10">
        <v>5</v>
      </c>
      <c r="C14" s="11" t="s">
        <v>458</v>
      </c>
      <c r="D14" s="12"/>
      <c r="E14" s="14" t="s">
        <v>1067</v>
      </c>
      <c r="F14" s="11" t="s">
        <v>454</v>
      </c>
      <c r="G14" s="11" t="s">
        <v>86</v>
      </c>
      <c r="H14" s="11" t="s">
        <v>930</v>
      </c>
      <c r="I14" s="12"/>
      <c r="L14" s="21"/>
      <c r="M14" s="21"/>
      <c r="O14" s="1"/>
      <c r="P14" s="1"/>
      <c r="Q14" s="1"/>
      <c r="R14" s="1"/>
      <c r="S14" s="1"/>
      <c r="T14" s="21"/>
      <c r="U14" s="21"/>
      <c r="V14" s="1">
        <v>41</v>
      </c>
    </row>
    <row r="15" spans="1:22" ht="16.5" x14ac:dyDescent="0.35">
      <c r="A15" s="1" t="s">
        <v>39</v>
      </c>
      <c r="B15" s="10">
        <v>6</v>
      </c>
      <c r="C15" s="11" t="s">
        <v>459</v>
      </c>
      <c r="D15" s="12"/>
      <c r="E15" s="14" t="s">
        <v>1068</v>
      </c>
      <c r="F15" s="11" t="s">
        <v>454</v>
      </c>
      <c r="G15" s="11" t="s">
        <v>86</v>
      </c>
      <c r="H15" s="11" t="s">
        <v>931</v>
      </c>
      <c r="I15" s="12"/>
      <c r="L15" s="21">
        <v>19</v>
      </c>
      <c r="M15" s="21">
        <v>19</v>
      </c>
      <c r="O15" s="1" t="s">
        <v>1116</v>
      </c>
      <c r="P15" s="1">
        <v>5</v>
      </c>
      <c r="Q15" s="1"/>
      <c r="R15" s="1"/>
      <c r="S15" s="1" t="s">
        <v>1116</v>
      </c>
      <c r="T15" s="21">
        <v>19</v>
      </c>
      <c r="U15" s="21">
        <v>19</v>
      </c>
      <c r="V15" s="1">
        <f>V10+1</f>
        <v>42</v>
      </c>
    </row>
    <row r="16" spans="1:22" ht="16.5" x14ac:dyDescent="0.35">
      <c r="A16" s="1" t="s">
        <v>39</v>
      </c>
      <c r="B16" s="10">
        <v>7</v>
      </c>
      <c r="C16" s="11" t="s">
        <v>460</v>
      </c>
      <c r="D16" s="12"/>
      <c r="E16" s="14" t="s">
        <v>1068</v>
      </c>
      <c r="F16" s="11" t="s">
        <v>454</v>
      </c>
      <c r="G16" s="11" t="s">
        <v>86</v>
      </c>
      <c r="H16" s="11" t="s">
        <v>931</v>
      </c>
      <c r="I16" s="11"/>
      <c r="L16" s="21">
        <v>19</v>
      </c>
      <c r="M16" s="21">
        <v>19</v>
      </c>
      <c r="O16" s="1" t="s">
        <v>1116</v>
      </c>
      <c r="P16" s="1">
        <v>5</v>
      </c>
      <c r="Q16" s="1"/>
      <c r="R16" s="1"/>
      <c r="S16" s="1" t="s">
        <v>1116</v>
      </c>
      <c r="T16" s="21">
        <v>19</v>
      </c>
      <c r="U16" s="21">
        <v>19</v>
      </c>
      <c r="V16" s="1">
        <f t="shared" ref="V16:V59" si="5">V11+1</f>
        <v>42</v>
      </c>
    </row>
    <row r="17" spans="1:22" ht="16.5" x14ac:dyDescent="0.35">
      <c r="A17" s="1" t="s">
        <v>39</v>
      </c>
      <c r="B17" s="10">
        <v>8</v>
      </c>
      <c r="C17" s="11" t="s">
        <v>461</v>
      </c>
      <c r="D17" s="12"/>
      <c r="E17" s="14" t="s">
        <v>1068</v>
      </c>
      <c r="F17" s="11" t="s">
        <v>454</v>
      </c>
      <c r="G17" s="11" t="s">
        <v>86</v>
      </c>
      <c r="H17" s="11" t="s">
        <v>931</v>
      </c>
      <c r="I17" s="12"/>
      <c r="L17" s="21">
        <v>19</v>
      </c>
      <c r="M17" s="21">
        <v>19</v>
      </c>
      <c r="O17" s="1" t="s">
        <v>1116</v>
      </c>
      <c r="P17" s="1">
        <v>5</v>
      </c>
      <c r="Q17" s="1"/>
      <c r="R17" s="1"/>
      <c r="S17" s="1" t="s">
        <v>1116</v>
      </c>
      <c r="T17" s="21">
        <v>19</v>
      </c>
      <c r="U17" s="21">
        <v>19</v>
      </c>
      <c r="V17" s="1">
        <f t="shared" si="5"/>
        <v>42</v>
      </c>
    </row>
    <row r="18" spans="1:22" ht="16.5" x14ac:dyDescent="0.35">
      <c r="A18" s="1" t="s">
        <v>39</v>
      </c>
      <c r="B18" s="10">
        <v>9</v>
      </c>
      <c r="C18" s="11" t="s">
        <v>462</v>
      </c>
      <c r="D18" s="12"/>
      <c r="E18" s="14" t="s">
        <v>1068</v>
      </c>
      <c r="F18" s="11" t="s">
        <v>454</v>
      </c>
      <c r="G18" s="11" t="s">
        <v>86</v>
      </c>
      <c r="H18" s="11" t="s">
        <v>932</v>
      </c>
      <c r="I18" s="12"/>
      <c r="L18" s="21">
        <v>19</v>
      </c>
      <c r="M18" s="21">
        <v>19</v>
      </c>
      <c r="O18" s="1" t="s">
        <v>1116</v>
      </c>
      <c r="P18" s="1">
        <v>5</v>
      </c>
      <c r="Q18" s="1"/>
      <c r="R18" s="1"/>
      <c r="S18" s="1" t="s">
        <v>1116</v>
      </c>
      <c r="T18" s="21">
        <v>19</v>
      </c>
      <c r="U18" s="21">
        <v>19</v>
      </c>
      <c r="V18" s="1">
        <f t="shared" si="5"/>
        <v>42</v>
      </c>
    </row>
    <row r="19" spans="1:22" ht="16.5" x14ac:dyDescent="0.35">
      <c r="A19" s="1" t="s">
        <v>39</v>
      </c>
      <c r="B19" s="10">
        <v>10</v>
      </c>
      <c r="C19" s="11" t="s">
        <v>463</v>
      </c>
      <c r="D19" s="12"/>
      <c r="E19" s="14" t="s">
        <v>1068</v>
      </c>
      <c r="F19" s="11" t="s">
        <v>454</v>
      </c>
      <c r="G19" s="11" t="s">
        <v>86</v>
      </c>
      <c r="H19" s="19" t="s">
        <v>1144</v>
      </c>
      <c r="I19" s="12"/>
      <c r="L19" s="21">
        <v>76</v>
      </c>
      <c r="M19" s="21">
        <v>76</v>
      </c>
      <c r="O19" s="24" t="s">
        <v>1117</v>
      </c>
      <c r="P19" s="24">
        <v>1</v>
      </c>
      <c r="Q19" s="24">
        <v>30</v>
      </c>
      <c r="R19" s="24">
        <v>4000</v>
      </c>
      <c r="S19" s="24" t="s">
        <v>1117</v>
      </c>
      <c r="T19" s="21">
        <v>76</v>
      </c>
      <c r="U19" s="21">
        <v>76</v>
      </c>
      <c r="V19" s="1">
        <f t="shared" si="5"/>
        <v>42</v>
      </c>
    </row>
    <row r="20" spans="1:22" ht="16.5" x14ac:dyDescent="0.35">
      <c r="A20" s="1" t="s">
        <v>39</v>
      </c>
      <c r="B20" s="10">
        <v>11</v>
      </c>
      <c r="C20" s="11" t="s">
        <v>464</v>
      </c>
      <c r="D20" s="12"/>
      <c r="E20" s="14" t="s">
        <v>1069</v>
      </c>
      <c r="F20" s="11" t="s">
        <v>454</v>
      </c>
      <c r="G20" s="11" t="s">
        <v>86</v>
      </c>
      <c r="H20" s="11" t="s">
        <v>933</v>
      </c>
      <c r="I20" s="11"/>
      <c r="L20" s="21">
        <v>19</v>
      </c>
      <c r="M20" s="21">
        <v>19</v>
      </c>
      <c r="O20" s="1" t="s">
        <v>1116</v>
      </c>
      <c r="P20" s="1">
        <v>5</v>
      </c>
      <c r="Q20" s="1"/>
      <c r="R20" s="1"/>
      <c r="S20" s="1" t="s">
        <v>1116</v>
      </c>
      <c r="T20" s="21">
        <v>19</v>
      </c>
      <c r="U20" s="21">
        <v>19</v>
      </c>
      <c r="V20" s="1">
        <f t="shared" si="5"/>
        <v>43</v>
      </c>
    </row>
    <row r="21" spans="1:22" ht="16.5" x14ac:dyDescent="0.35">
      <c r="A21" s="1" t="s">
        <v>39</v>
      </c>
      <c r="B21" s="10">
        <v>12</v>
      </c>
      <c r="C21" s="11" t="s">
        <v>465</v>
      </c>
      <c r="D21" s="12"/>
      <c r="E21" s="14" t="s">
        <v>1069</v>
      </c>
      <c r="F21" s="11" t="s">
        <v>454</v>
      </c>
      <c r="G21" s="11" t="s">
        <v>86</v>
      </c>
      <c r="H21" s="11" t="s">
        <v>933</v>
      </c>
      <c r="I21" s="12"/>
      <c r="L21" s="21">
        <v>19</v>
      </c>
      <c r="M21" s="21">
        <v>19</v>
      </c>
      <c r="O21" s="1" t="s">
        <v>1116</v>
      </c>
      <c r="P21" s="1">
        <v>5</v>
      </c>
      <c r="Q21" s="1"/>
      <c r="R21" s="1"/>
      <c r="S21" s="1" t="s">
        <v>1116</v>
      </c>
      <c r="T21" s="21">
        <v>19</v>
      </c>
      <c r="U21" s="21">
        <v>19</v>
      </c>
      <c r="V21" s="1">
        <f t="shared" si="5"/>
        <v>43</v>
      </c>
    </row>
    <row r="22" spans="1:22" ht="16.5" x14ac:dyDescent="0.35">
      <c r="A22" s="1" t="s">
        <v>39</v>
      </c>
      <c r="B22" s="10">
        <v>13</v>
      </c>
      <c r="C22" s="11" t="s">
        <v>466</v>
      </c>
      <c r="D22" s="12"/>
      <c r="E22" s="14" t="s">
        <v>1069</v>
      </c>
      <c r="F22" s="11" t="s">
        <v>454</v>
      </c>
      <c r="G22" s="11" t="s">
        <v>86</v>
      </c>
      <c r="H22" s="11" t="s">
        <v>933</v>
      </c>
      <c r="I22" s="12"/>
      <c r="L22" s="21">
        <v>19</v>
      </c>
      <c r="M22" s="21">
        <v>19</v>
      </c>
      <c r="O22" s="1" t="s">
        <v>1116</v>
      </c>
      <c r="P22" s="1">
        <v>5</v>
      </c>
      <c r="Q22" s="1"/>
      <c r="R22" s="1"/>
      <c r="S22" s="1" t="s">
        <v>1116</v>
      </c>
      <c r="T22" s="21">
        <v>19</v>
      </c>
      <c r="U22" s="21">
        <v>19</v>
      </c>
      <c r="V22" s="1">
        <f t="shared" si="5"/>
        <v>43</v>
      </c>
    </row>
    <row r="23" spans="1:22" ht="16.5" x14ac:dyDescent="0.35">
      <c r="A23" s="1" t="s">
        <v>39</v>
      </c>
      <c r="B23" s="10">
        <v>14</v>
      </c>
      <c r="C23" s="11" t="s">
        <v>467</v>
      </c>
      <c r="D23" s="12"/>
      <c r="E23" s="14" t="s">
        <v>1069</v>
      </c>
      <c r="F23" s="11" t="s">
        <v>454</v>
      </c>
      <c r="G23" s="11" t="s">
        <v>86</v>
      </c>
      <c r="H23" s="11" t="s">
        <v>933</v>
      </c>
      <c r="I23" s="12"/>
      <c r="L23" s="21">
        <v>19</v>
      </c>
      <c r="M23" s="21">
        <v>19</v>
      </c>
      <c r="O23" s="1" t="s">
        <v>1116</v>
      </c>
      <c r="P23" s="1">
        <v>5</v>
      </c>
      <c r="Q23" s="1"/>
      <c r="R23" s="1"/>
      <c r="S23" s="1" t="s">
        <v>1116</v>
      </c>
      <c r="T23" s="21">
        <v>19</v>
      </c>
      <c r="U23" s="21">
        <v>19</v>
      </c>
      <c r="V23" s="1">
        <f t="shared" si="5"/>
        <v>43</v>
      </c>
    </row>
    <row r="24" spans="1:22" ht="24" x14ac:dyDescent="0.35">
      <c r="A24" s="1" t="s">
        <v>39</v>
      </c>
      <c r="B24" s="10">
        <v>15</v>
      </c>
      <c r="C24" s="11" t="s">
        <v>468</v>
      </c>
      <c r="D24" s="12"/>
      <c r="E24" s="14" t="s">
        <v>1069</v>
      </c>
      <c r="F24" s="11" t="s">
        <v>454</v>
      </c>
      <c r="G24" s="11" t="s">
        <v>86</v>
      </c>
      <c r="H24" s="11" t="s">
        <v>930</v>
      </c>
      <c r="I24" s="12"/>
      <c r="L24" s="21"/>
      <c r="M24" s="21"/>
      <c r="O24" s="1"/>
      <c r="P24" s="1"/>
      <c r="Q24" s="1"/>
      <c r="R24" s="1"/>
      <c r="S24" s="1"/>
      <c r="T24" s="21"/>
      <c r="U24" s="21"/>
      <c r="V24" s="1">
        <f t="shared" si="5"/>
        <v>43</v>
      </c>
    </row>
    <row r="25" spans="1:22" ht="16.5" x14ac:dyDescent="0.35">
      <c r="A25" s="1" t="s">
        <v>39</v>
      </c>
      <c r="B25" s="10">
        <v>16</v>
      </c>
      <c r="C25" s="11" t="s">
        <v>469</v>
      </c>
      <c r="D25" s="12"/>
      <c r="E25" s="14" t="s">
        <v>1070</v>
      </c>
      <c r="F25" s="11" t="s">
        <v>470</v>
      </c>
      <c r="G25" s="11" t="s">
        <v>86</v>
      </c>
      <c r="H25" s="11" t="s">
        <v>934</v>
      </c>
      <c r="I25" s="11"/>
      <c r="L25" s="21">
        <v>19</v>
      </c>
      <c r="M25" s="21">
        <v>19</v>
      </c>
      <c r="O25" s="1" t="s">
        <v>1116</v>
      </c>
      <c r="P25" s="1">
        <v>5</v>
      </c>
      <c r="Q25" s="1"/>
      <c r="R25" s="1"/>
      <c r="S25" s="1" t="s">
        <v>1116</v>
      </c>
      <c r="T25" s="21">
        <v>19</v>
      </c>
      <c r="U25" s="21">
        <v>19</v>
      </c>
      <c r="V25" s="1">
        <f t="shared" si="5"/>
        <v>44</v>
      </c>
    </row>
    <row r="26" spans="1:22" ht="16.5" x14ac:dyDescent="0.35">
      <c r="A26" s="1" t="s">
        <v>39</v>
      </c>
      <c r="B26" s="10">
        <v>17</v>
      </c>
      <c r="C26" s="11" t="s">
        <v>471</v>
      </c>
      <c r="D26" s="12"/>
      <c r="E26" s="14" t="s">
        <v>1070</v>
      </c>
      <c r="F26" s="11" t="s">
        <v>470</v>
      </c>
      <c r="G26" s="11" t="s">
        <v>86</v>
      </c>
      <c r="H26" s="11" t="s">
        <v>934</v>
      </c>
      <c r="I26" s="12"/>
      <c r="L26" s="21">
        <v>19</v>
      </c>
      <c r="M26" s="21">
        <v>19</v>
      </c>
      <c r="O26" s="1" t="s">
        <v>1116</v>
      </c>
      <c r="P26" s="1">
        <v>5</v>
      </c>
      <c r="Q26" s="1"/>
      <c r="R26" s="1"/>
      <c r="S26" s="1" t="s">
        <v>1116</v>
      </c>
      <c r="T26" s="21">
        <v>19</v>
      </c>
      <c r="U26" s="21">
        <v>19</v>
      </c>
      <c r="V26" s="1">
        <f t="shared" si="5"/>
        <v>44</v>
      </c>
    </row>
    <row r="27" spans="1:22" ht="16.5" x14ac:dyDescent="0.35">
      <c r="A27" s="1" t="s">
        <v>39</v>
      </c>
      <c r="B27" s="10">
        <v>18</v>
      </c>
      <c r="C27" s="11" t="s">
        <v>472</v>
      </c>
      <c r="D27" s="12"/>
      <c r="E27" s="14" t="s">
        <v>1070</v>
      </c>
      <c r="F27" s="11" t="s">
        <v>470</v>
      </c>
      <c r="G27" s="11" t="s">
        <v>86</v>
      </c>
      <c r="H27" s="11" t="s">
        <v>934</v>
      </c>
      <c r="I27" s="12"/>
      <c r="L27" s="21">
        <v>19</v>
      </c>
      <c r="M27" s="21">
        <v>19</v>
      </c>
      <c r="O27" s="1" t="s">
        <v>1116</v>
      </c>
      <c r="P27" s="1">
        <v>5</v>
      </c>
      <c r="Q27" s="1"/>
      <c r="R27" s="1"/>
      <c r="S27" s="1" t="s">
        <v>1116</v>
      </c>
      <c r="T27" s="21">
        <v>19</v>
      </c>
      <c r="U27" s="21">
        <v>19</v>
      </c>
      <c r="V27" s="1">
        <f t="shared" si="5"/>
        <v>44</v>
      </c>
    </row>
    <row r="28" spans="1:22" ht="16.5" x14ac:dyDescent="0.35">
      <c r="A28" s="1" t="s">
        <v>39</v>
      </c>
      <c r="B28" s="10">
        <v>19</v>
      </c>
      <c r="C28" s="11" t="s">
        <v>473</v>
      </c>
      <c r="D28" s="12"/>
      <c r="E28" s="14" t="s">
        <v>1070</v>
      </c>
      <c r="F28" s="11" t="s">
        <v>470</v>
      </c>
      <c r="G28" s="11" t="s">
        <v>86</v>
      </c>
      <c r="H28" s="11" t="s">
        <v>932</v>
      </c>
      <c r="I28" s="12"/>
      <c r="L28" s="21">
        <v>19</v>
      </c>
      <c r="M28" s="21">
        <v>19</v>
      </c>
      <c r="O28" s="1" t="s">
        <v>1116</v>
      </c>
      <c r="P28" s="1">
        <v>5</v>
      </c>
      <c r="Q28" s="1"/>
      <c r="R28" s="1"/>
      <c r="S28" s="1" t="s">
        <v>1116</v>
      </c>
      <c r="T28" s="21">
        <v>19</v>
      </c>
      <c r="U28" s="21">
        <v>19</v>
      </c>
      <c r="V28" s="1">
        <f t="shared" si="5"/>
        <v>44</v>
      </c>
    </row>
    <row r="29" spans="1:22" ht="16.5" x14ac:dyDescent="0.35">
      <c r="A29" s="1" t="s">
        <v>39</v>
      </c>
      <c r="B29" s="10">
        <v>20</v>
      </c>
      <c r="C29" s="11" t="s">
        <v>474</v>
      </c>
      <c r="D29" s="12"/>
      <c r="E29" s="14" t="s">
        <v>1070</v>
      </c>
      <c r="F29" s="11" t="s">
        <v>470</v>
      </c>
      <c r="G29" s="11" t="s">
        <v>86</v>
      </c>
      <c r="H29" s="19" t="s">
        <v>1139</v>
      </c>
      <c r="I29" s="12"/>
      <c r="L29" s="21">
        <v>76</v>
      </c>
      <c r="M29" s="21">
        <v>76</v>
      </c>
      <c r="O29" s="24" t="s">
        <v>1118</v>
      </c>
      <c r="P29" s="24">
        <v>1</v>
      </c>
      <c r="Q29" s="24">
        <v>30</v>
      </c>
      <c r="R29" s="24">
        <v>4000</v>
      </c>
      <c r="S29" s="24" t="s">
        <v>1118</v>
      </c>
      <c r="T29" s="21">
        <v>76</v>
      </c>
      <c r="U29" s="21">
        <v>76</v>
      </c>
      <c r="V29" s="1">
        <f t="shared" si="5"/>
        <v>44</v>
      </c>
    </row>
    <row r="30" spans="1:22" ht="16.5" x14ac:dyDescent="0.35">
      <c r="A30" s="1" t="s">
        <v>39</v>
      </c>
      <c r="B30" s="10">
        <v>21</v>
      </c>
      <c r="C30" s="11" t="s">
        <v>475</v>
      </c>
      <c r="D30" s="12"/>
      <c r="E30" s="14" t="s">
        <v>1071</v>
      </c>
      <c r="F30" s="11" t="s">
        <v>470</v>
      </c>
      <c r="G30" s="11" t="s">
        <v>86</v>
      </c>
      <c r="H30" s="11" t="s">
        <v>935</v>
      </c>
      <c r="I30" s="11"/>
      <c r="L30" s="21">
        <v>19</v>
      </c>
      <c r="M30" s="21">
        <v>19</v>
      </c>
      <c r="O30" s="1" t="s">
        <v>1116</v>
      </c>
      <c r="P30" s="1">
        <v>5</v>
      </c>
      <c r="Q30" s="1"/>
      <c r="R30" s="1"/>
      <c r="S30" s="1" t="s">
        <v>1116</v>
      </c>
      <c r="T30" s="21">
        <v>19</v>
      </c>
      <c r="U30" s="21">
        <v>19</v>
      </c>
      <c r="V30" s="1">
        <f t="shared" si="5"/>
        <v>45</v>
      </c>
    </row>
    <row r="31" spans="1:22" ht="16.5" x14ac:dyDescent="0.35">
      <c r="A31" s="1" t="s">
        <v>39</v>
      </c>
      <c r="B31" s="10">
        <v>22</v>
      </c>
      <c r="C31" s="11" t="s">
        <v>476</v>
      </c>
      <c r="D31" s="12"/>
      <c r="E31" s="14" t="s">
        <v>1071</v>
      </c>
      <c r="F31" s="11" t="s">
        <v>470</v>
      </c>
      <c r="G31" s="11" t="s">
        <v>86</v>
      </c>
      <c r="H31" s="11" t="s">
        <v>935</v>
      </c>
      <c r="I31" s="12"/>
      <c r="L31" s="21">
        <v>19</v>
      </c>
      <c r="M31" s="21">
        <v>19</v>
      </c>
      <c r="O31" s="1" t="s">
        <v>1116</v>
      </c>
      <c r="P31" s="1">
        <v>5</v>
      </c>
      <c r="Q31" s="1"/>
      <c r="R31" s="1"/>
      <c r="S31" s="1" t="s">
        <v>1116</v>
      </c>
      <c r="T31" s="21">
        <v>19</v>
      </c>
      <c r="U31" s="21">
        <v>19</v>
      </c>
      <c r="V31" s="1">
        <f t="shared" si="5"/>
        <v>45</v>
      </c>
    </row>
    <row r="32" spans="1:22" ht="16.5" x14ac:dyDescent="0.35">
      <c r="A32" s="1" t="s">
        <v>39</v>
      </c>
      <c r="B32" s="10">
        <v>23</v>
      </c>
      <c r="C32" s="11" t="s">
        <v>477</v>
      </c>
      <c r="D32" s="12"/>
      <c r="E32" s="14" t="s">
        <v>1071</v>
      </c>
      <c r="F32" s="11" t="s">
        <v>470</v>
      </c>
      <c r="G32" s="11" t="s">
        <v>86</v>
      </c>
      <c r="H32" s="11" t="s">
        <v>935</v>
      </c>
      <c r="I32" s="11"/>
      <c r="L32" s="21">
        <v>19</v>
      </c>
      <c r="M32" s="21">
        <v>19</v>
      </c>
      <c r="O32" s="1" t="s">
        <v>1116</v>
      </c>
      <c r="P32" s="1">
        <v>5</v>
      </c>
      <c r="Q32" s="1"/>
      <c r="R32" s="1"/>
      <c r="S32" s="1" t="s">
        <v>1116</v>
      </c>
      <c r="T32" s="21">
        <v>19</v>
      </c>
      <c r="U32" s="21">
        <v>19</v>
      </c>
      <c r="V32" s="1">
        <f t="shared" si="5"/>
        <v>45</v>
      </c>
    </row>
    <row r="33" spans="1:22" ht="16.5" x14ac:dyDescent="0.35">
      <c r="A33" s="1" t="s">
        <v>39</v>
      </c>
      <c r="B33" s="10">
        <v>24</v>
      </c>
      <c r="C33" s="11" t="s">
        <v>478</v>
      </c>
      <c r="D33" s="12"/>
      <c r="E33" s="14" t="s">
        <v>1071</v>
      </c>
      <c r="F33" s="11" t="s">
        <v>470</v>
      </c>
      <c r="G33" s="11" t="s">
        <v>86</v>
      </c>
      <c r="H33" s="11" t="s">
        <v>935</v>
      </c>
      <c r="I33" s="12"/>
      <c r="L33" s="21">
        <v>19</v>
      </c>
      <c r="M33" s="21">
        <v>19</v>
      </c>
      <c r="O33" s="1" t="s">
        <v>1116</v>
      </c>
      <c r="P33" s="1">
        <v>5</v>
      </c>
      <c r="Q33" s="1"/>
      <c r="R33" s="1"/>
      <c r="S33" s="1" t="s">
        <v>1116</v>
      </c>
      <c r="T33" s="21">
        <v>19</v>
      </c>
      <c r="U33" s="21">
        <v>19</v>
      </c>
      <c r="V33" s="1">
        <f t="shared" si="5"/>
        <v>45</v>
      </c>
    </row>
    <row r="34" spans="1:22" ht="24" x14ac:dyDescent="0.35">
      <c r="A34" s="1" t="s">
        <v>39</v>
      </c>
      <c r="B34" s="10">
        <v>25</v>
      </c>
      <c r="C34" s="11" t="s">
        <v>479</v>
      </c>
      <c r="D34" s="12"/>
      <c r="E34" s="14" t="s">
        <v>1071</v>
      </c>
      <c r="F34" s="11" t="s">
        <v>470</v>
      </c>
      <c r="G34" s="11" t="s">
        <v>86</v>
      </c>
      <c r="H34" s="11" t="s">
        <v>930</v>
      </c>
      <c r="I34" s="12"/>
      <c r="L34" s="21"/>
      <c r="M34" s="21"/>
      <c r="O34" s="1"/>
      <c r="P34" s="1"/>
      <c r="Q34" s="1"/>
      <c r="R34" s="1"/>
      <c r="S34" s="1"/>
      <c r="T34" s="21"/>
      <c r="U34" s="21"/>
      <c r="V34" s="1">
        <f t="shared" si="5"/>
        <v>45</v>
      </c>
    </row>
    <row r="35" spans="1:22" ht="16.5" x14ac:dyDescent="0.35">
      <c r="A35" s="1" t="s">
        <v>39</v>
      </c>
      <c r="B35" s="10">
        <v>26</v>
      </c>
      <c r="C35" s="11" t="s">
        <v>480</v>
      </c>
      <c r="D35" s="12"/>
      <c r="E35" s="14" t="s">
        <v>1072</v>
      </c>
      <c r="F35" s="11" t="s">
        <v>470</v>
      </c>
      <c r="G35" s="11" t="s">
        <v>86</v>
      </c>
      <c r="H35" s="11" t="s">
        <v>936</v>
      </c>
      <c r="I35" s="12"/>
      <c r="L35" s="21">
        <v>19</v>
      </c>
      <c r="M35" s="21">
        <v>19</v>
      </c>
      <c r="O35" s="1" t="s">
        <v>1116</v>
      </c>
      <c r="P35" s="1">
        <v>5</v>
      </c>
      <c r="Q35" s="1"/>
      <c r="R35" s="1"/>
      <c r="S35" s="1" t="s">
        <v>1116</v>
      </c>
      <c r="T35" s="21">
        <v>19</v>
      </c>
      <c r="U35" s="21">
        <v>19</v>
      </c>
      <c r="V35" s="1">
        <f t="shared" si="5"/>
        <v>46</v>
      </c>
    </row>
    <row r="36" spans="1:22" ht="16.5" x14ac:dyDescent="0.35">
      <c r="A36" s="1" t="s">
        <v>39</v>
      </c>
      <c r="B36" s="10">
        <v>27</v>
      </c>
      <c r="C36" s="11" t="s">
        <v>481</v>
      </c>
      <c r="D36" s="12"/>
      <c r="E36" s="14" t="s">
        <v>1072</v>
      </c>
      <c r="F36" s="11" t="s">
        <v>470</v>
      </c>
      <c r="G36" s="11" t="s">
        <v>86</v>
      </c>
      <c r="H36" s="11" t="s">
        <v>936</v>
      </c>
      <c r="I36" s="12"/>
      <c r="L36" s="21">
        <v>19</v>
      </c>
      <c r="M36" s="21">
        <v>19</v>
      </c>
      <c r="O36" s="1" t="s">
        <v>1116</v>
      </c>
      <c r="P36" s="1">
        <v>5</v>
      </c>
      <c r="Q36" s="1"/>
      <c r="R36" s="1"/>
      <c r="S36" s="1" t="s">
        <v>1116</v>
      </c>
      <c r="T36" s="21">
        <v>19</v>
      </c>
      <c r="U36" s="21">
        <v>19</v>
      </c>
      <c r="V36" s="1">
        <f t="shared" si="5"/>
        <v>46</v>
      </c>
    </row>
    <row r="37" spans="1:22" ht="16.5" x14ac:dyDescent="0.35">
      <c r="A37" s="1" t="s">
        <v>39</v>
      </c>
      <c r="B37" s="10">
        <v>28</v>
      </c>
      <c r="C37" s="11" t="s">
        <v>482</v>
      </c>
      <c r="D37" s="12"/>
      <c r="E37" s="14" t="s">
        <v>1072</v>
      </c>
      <c r="F37" s="11" t="s">
        <v>470</v>
      </c>
      <c r="G37" s="11" t="s">
        <v>86</v>
      </c>
      <c r="H37" s="11" t="s">
        <v>936</v>
      </c>
      <c r="I37" s="12"/>
      <c r="L37" s="21">
        <v>19</v>
      </c>
      <c r="M37" s="21">
        <v>19</v>
      </c>
      <c r="O37" s="1" t="s">
        <v>1116</v>
      </c>
      <c r="P37" s="1">
        <v>5</v>
      </c>
      <c r="Q37" s="1"/>
      <c r="R37" s="1"/>
      <c r="S37" s="1" t="s">
        <v>1116</v>
      </c>
      <c r="T37" s="21">
        <v>19</v>
      </c>
      <c r="U37" s="21">
        <v>19</v>
      </c>
      <c r="V37" s="1">
        <f t="shared" si="5"/>
        <v>46</v>
      </c>
    </row>
    <row r="38" spans="1:22" ht="16.5" x14ac:dyDescent="0.35">
      <c r="A38" s="1" t="s">
        <v>39</v>
      </c>
      <c r="B38" s="10">
        <v>29</v>
      </c>
      <c r="C38" s="11" t="s">
        <v>483</v>
      </c>
      <c r="D38" s="12"/>
      <c r="E38" s="14" t="s">
        <v>1072</v>
      </c>
      <c r="F38" s="11" t="s">
        <v>470</v>
      </c>
      <c r="G38" s="11" t="s">
        <v>86</v>
      </c>
      <c r="H38" s="11" t="s">
        <v>932</v>
      </c>
      <c r="I38" s="12"/>
      <c r="L38" s="21">
        <v>19</v>
      </c>
      <c r="M38" s="21">
        <v>19</v>
      </c>
      <c r="O38" s="1" t="s">
        <v>1116</v>
      </c>
      <c r="P38" s="1">
        <v>5</v>
      </c>
      <c r="Q38" s="1"/>
      <c r="R38" s="1"/>
      <c r="S38" s="1" t="s">
        <v>1116</v>
      </c>
      <c r="T38" s="21">
        <v>19</v>
      </c>
      <c r="U38" s="21">
        <v>19</v>
      </c>
      <c r="V38" s="1">
        <f t="shared" si="5"/>
        <v>46</v>
      </c>
    </row>
    <row r="39" spans="1:22" ht="16.5" x14ac:dyDescent="0.35">
      <c r="A39" s="1" t="s">
        <v>39</v>
      </c>
      <c r="B39" s="10">
        <v>30</v>
      </c>
      <c r="C39" s="11" t="s">
        <v>484</v>
      </c>
      <c r="D39" s="12"/>
      <c r="E39" s="14" t="s">
        <v>1072</v>
      </c>
      <c r="F39" s="11" t="s">
        <v>470</v>
      </c>
      <c r="G39" s="11" t="s">
        <v>86</v>
      </c>
      <c r="H39" s="19" t="s">
        <v>1145</v>
      </c>
      <c r="I39" s="12"/>
      <c r="L39" s="21">
        <v>76</v>
      </c>
      <c r="M39" s="21">
        <v>76</v>
      </c>
      <c r="O39" s="24" t="s">
        <v>1118</v>
      </c>
      <c r="P39" s="24">
        <v>1</v>
      </c>
      <c r="Q39" s="24">
        <v>30</v>
      </c>
      <c r="R39" s="24">
        <v>4000</v>
      </c>
      <c r="S39" s="24" t="s">
        <v>1118</v>
      </c>
      <c r="T39" s="21">
        <v>76</v>
      </c>
      <c r="U39" s="21">
        <v>76</v>
      </c>
      <c r="V39" s="1">
        <f t="shared" si="5"/>
        <v>46</v>
      </c>
    </row>
    <row r="40" spans="1:22" ht="16.5" x14ac:dyDescent="0.35">
      <c r="A40" s="1" t="s">
        <v>39</v>
      </c>
      <c r="B40" s="10">
        <v>31</v>
      </c>
      <c r="C40" s="11" t="s">
        <v>485</v>
      </c>
      <c r="D40" s="12"/>
      <c r="E40" s="14" t="s">
        <v>1073</v>
      </c>
      <c r="F40" s="11" t="s">
        <v>486</v>
      </c>
      <c r="G40" s="11" t="s">
        <v>86</v>
      </c>
      <c r="H40" s="11" t="s">
        <v>937</v>
      </c>
      <c r="I40" s="12"/>
      <c r="L40" s="21">
        <v>19</v>
      </c>
      <c r="M40" s="21">
        <v>19</v>
      </c>
      <c r="O40" s="1" t="s">
        <v>1116</v>
      </c>
      <c r="P40" s="1">
        <v>5</v>
      </c>
      <c r="Q40" s="1"/>
      <c r="R40" s="1"/>
      <c r="S40" s="1" t="s">
        <v>1116</v>
      </c>
      <c r="T40" s="21">
        <v>19</v>
      </c>
      <c r="U40" s="21">
        <v>19</v>
      </c>
      <c r="V40" s="1">
        <f t="shared" si="5"/>
        <v>47</v>
      </c>
    </row>
    <row r="41" spans="1:22" ht="16.5" x14ac:dyDescent="0.35">
      <c r="A41" s="1" t="s">
        <v>39</v>
      </c>
      <c r="B41" s="10">
        <v>32</v>
      </c>
      <c r="C41" s="11" t="s">
        <v>487</v>
      </c>
      <c r="D41" s="12"/>
      <c r="E41" s="14" t="s">
        <v>1073</v>
      </c>
      <c r="F41" s="11" t="s">
        <v>486</v>
      </c>
      <c r="G41" s="11" t="s">
        <v>86</v>
      </c>
      <c r="H41" s="11" t="s">
        <v>937</v>
      </c>
      <c r="I41" s="12"/>
      <c r="L41" s="21">
        <v>19</v>
      </c>
      <c r="M41" s="21">
        <v>19</v>
      </c>
      <c r="O41" s="1" t="s">
        <v>1116</v>
      </c>
      <c r="P41" s="1">
        <v>5</v>
      </c>
      <c r="Q41" s="1"/>
      <c r="R41" s="1"/>
      <c r="S41" s="1" t="s">
        <v>1116</v>
      </c>
      <c r="T41" s="21">
        <v>19</v>
      </c>
      <c r="U41" s="21">
        <v>19</v>
      </c>
      <c r="V41" s="1">
        <f t="shared" si="5"/>
        <v>47</v>
      </c>
    </row>
    <row r="42" spans="1:22" ht="16.5" x14ac:dyDescent="0.35">
      <c r="A42" s="1" t="s">
        <v>39</v>
      </c>
      <c r="B42" s="10">
        <v>33</v>
      </c>
      <c r="C42" s="11" t="s">
        <v>488</v>
      </c>
      <c r="D42" s="12"/>
      <c r="E42" s="14" t="s">
        <v>1073</v>
      </c>
      <c r="F42" s="11" t="s">
        <v>486</v>
      </c>
      <c r="G42" s="11" t="s">
        <v>86</v>
      </c>
      <c r="H42" s="11" t="s">
        <v>937</v>
      </c>
      <c r="I42" s="12"/>
      <c r="L42" s="21">
        <v>19</v>
      </c>
      <c r="M42" s="21">
        <v>19</v>
      </c>
      <c r="O42" s="1" t="s">
        <v>1116</v>
      </c>
      <c r="P42" s="1">
        <v>5</v>
      </c>
      <c r="Q42" s="1"/>
      <c r="R42" s="1"/>
      <c r="S42" s="1" t="s">
        <v>1116</v>
      </c>
      <c r="T42" s="21">
        <v>19</v>
      </c>
      <c r="U42" s="21">
        <v>19</v>
      </c>
      <c r="V42" s="1">
        <f t="shared" si="5"/>
        <v>47</v>
      </c>
    </row>
    <row r="43" spans="1:22" ht="16.5" x14ac:dyDescent="0.35">
      <c r="A43" s="1" t="s">
        <v>39</v>
      </c>
      <c r="B43" s="10">
        <v>34</v>
      </c>
      <c r="C43" s="11" t="s">
        <v>489</v>
      </c>
      <c r="D43" s="12"/>
      <c r="E43" s="14" t="s">
        <v>1073</v>
      </c>
      <c r="F43" s="11" t="s">
        <v>486</v>
      </c>
      <c r="G43" s="11" t="s">
        <v>86</v>
      </c>
      <c r="H43" s="11" t="s">
        <v>937</v>
      </c>
      <c r="I43" s="12"/>
      <c r="L43" s="21">
        <v>19</v>
      </c>
      <c r="M43" s="21">
        <v>19</v>
      </c>
      <c r="O43" s="1" t="s">
        <v>1116</v>
      </c>
      <c r="P43" s="1">
        <v>5</v>
      </c>
      <c r="Q43" s="1"/>
      <c r="R43" s="1"/>
      <c r="S43" s="1" t="s">
        <v>1116</v>
      </c>
      <c r="T43" s="21">
        <v>19</v>
      </c>
      <c r="U43" s="21">
        <v>19</v>
      </c>
      <c r="V43" s="1">
        <f t="shared" si="5"/>
        <v>47</v>
      </c>
    </row>
    <row r="44" spans="1:22" ht="24" x14ac:dyDescent="0.35">
      <c r="A44" s="1" t="s">
        <v>39</v>
      </c>
      <c r="B44" s="10">
        <v>35</v>
      </c>
      <c r="C44" s="11" t="s">
        <v>490</v>
      </c>
      <c r="D44" s="12"/>
      <c r="E44" s="14" t="s">
        <v>1073</v>
      </c>
      <c r="F44" s="11" t="s">
        <v>486</v>
      </c>
      <c r="G44" s="11" t="s">
        <v>86</v>
      </c>
      <c r="H44" s="11" t="s">
        <v>930</v>
      </c>
      <c r="I44" s="12"/>
      <c r="L44" s="21"/>
      <c r="M44" s="21"/>
      <c r="O44" s="1"/>
      <c r="P44" s="1"/>
      <c r="Q44" s="1"/>
      <c r="R44" s="1"/>
      <c r="S44" s="1"/>
      <c r="T44" s="21"/>
      <c r="U44" s="21"/>
      <c r="V44" s="1">
        <f t="shared" si="5"/>
        <v>47</v>
      </c>
    </row>
    <row r="45" spans="1:22" ht="16.5" x14ac:dyDescent="0.35">
      <c r="A45" s="1" t="s">
        <v>39</v>
      </c>
      <c r="B45" s="10">
        <v>36</v>
      </c>
      <c r="C45" s="11" t="s">
        <v>491</v>
      </c>
      <c r="D45" s="12"/>
      <c r="E45" s="14" t="s">
        <v>1074</v>
      </c>
      <c r="F45" s="11" t="s">
        <v>486</v>
      </c>
      <c r="G45" s="11" t="s">
        <v>86</v>
      </c>
      <c r="H45" s="11" t="s">
        <v>938</v>
      </c>
      <c r="I45" s="12"/>
      <c r="L45" s="21">
        <v>19</v>
      </c>
      <c r="M45" s="21">
        <v>19</v>
      </c>
      <c r="O45" s="1" t="s">
        <v>1116</v>
      </c>
      <c r="P45" s="1">
        <v>5</v>
      </c>
      <c r="Q45" s="1"/>
      <c r="R45" s="1"/>
      <c r="S45" s="1" t="s">
        <v>1116</v>
      </c>
      <c r="T45" s="21">
        <v>19</v>
      </c>
      <c r="U45" s="21">
        <v>19</v>
      </c>
      <c r="V45" s="1">
        <f t="shared" si="5"/>
        <v>48</v>
      </c>
    </row>
    <row r="46" spans="1:22" ht="16.5" x14ac:dyDescent="0.35">
      <c r="A46" s="1" t="s">
        <v>39</v>
      </c>
      <c r="B46" s="10">
        <v>37</v>
      </c>
      <c r="C46" s="11" t="s">
        <v>492</v>
      </c>
      <c r="D46" s="12"/>
      <c r="E46" s="14" t="s">
        <v>1074</v>
      </c>
      <c r="F46" s="11" t="s">
        <v>486</v>
      </c>
      <c r="G46" s="11" t="s">
        <v>86</v>
      </c>
      <c r="H46" s="11" t="s">
        <v>938</v>
      </c>
      <c r="I46" s="12"/>
      <c r="L46" s="21">
        <v>19</v>
      </c>
      <c r="M46" s="21">
        <v>19</v>
      </c>
      <c r="O46" s="1" t="s">
        <v>1116</v>
      </c>
      <c r="P46" s="1">
        <v>5</v>
      </c>
      <c r="Q46" s="1"/>
      <c r="R46" s="1"/>
      <c r="S46" s="1" t="s">
        <v>1116</v>
      </c>
      <c r="T46" s="21">
        <v>19</v>
      </c>
      <c r="U46" s="21">
        <v>19</v>
      </c>
      <c r="V46" s="1">
        <f t="shared" si="5"/>
        <v>48</v>
      </c>
    </row>
    <row r="47" spans="1:22" ht="16.5" x14ac:dyDescent="0.35">
      <c r="A47" s="1" t="s">
        <v>39</v>
      </c>
      <c r="B47" s="10">
        <v>38</v>
      </c>
      <c r="C47" s="11" t="s">
        <v>493</v>
      </c>
      <c r="D47" s="12"/>
      <c r="E47" s="14" t="s">
        <v>1074</v>
      </c>
      <c r="F47" s="11" t="s">
        <v>486</v>
      </c>
      <c r="G47" s="11" t="s">
        <v>86</v>
      </c>
      <c r="H47" s="11" t="s">
        <v>938</v>
      </c>
      <c r="I47" s="12"/>
      <c r="L47" s="21">
        <v>19</v>
      </c>
      <c r="M47" s="21">
        <v>19</v>
      </c>
      <c r="O47" s="1" t="s">
        <v>1116</v>
      </c>
      <c r="P47" s="1">
        <v>5</v>
      </c>
      <c r="Q47" s="1"/>
      <c r="R47" s="1"/>
      <c r="S47" s="1" t="s">
        <v>1116</v>
      </c>
      <c r="T47" s="21">
        <v>19</v>
      </c>
      <c r="U47" s="21">
        <v>19</v>
      </c>
      <c r="V47" s="1">
        <f t="shared" si="5"/>
        <v>48</v>
      </c>
    </row>
    <row r="48" spans="1:22" ht="16.5" x14ac:dyDescent="0.35">
      <c r="A48" s="1" t="s">
        <v>39</v>
      </c>
      <c r="B48" s="10">
        <v>39</v>
      </c>
      <c r="C48" s="11" t="s">
        <v>494</v>
      </c>
      <c r="D48" s="12"/>
      <c r="E48" s="14" t="s">
        <v>1074</v>
      </c>
      <c r="F48" s="11" t="s">
        <v>486</v>
      </c>
      <c r="G48" s="11" t="s">
        <v>86</v>
      </c>
      <c r="H48" s="11" t="s">
        <v>932</v>
      </c>
      <c r="I48" s="12"/>
      <c r="L48" s="21">
        <v>19</v>
      </c>
      <c r="M48" s="21">
        <v>19</v>
      </c>
      <c r="O48" s="1" t="s">
        <v>1116</v>
      </c>
      <c r="P48" s="1">
        <v>5</v>
      </c>
      <c r="Q48" s="1"/>
      <c r="R48" s="1"/>
      <c r="S48" s="1" t="s">
        <v>1116</v>
      </c>
      <c r="T48" s="21">
        <v>19</v>
      </c>
      <c r="U48" s="21">
        <v>19</v>
      </c>
      <c r="V48" s="1">
        <f t="shared" si="5"/>
        <v>48</v>
      </c>
    </row>
    <row r="49" spans="1:22" ht="16.5" x14ac:dyDescent="0.35">
      <c r="A49" s="1" t="s">
        <v>39</v>
      </c>
      <c r="B49" s="10">
        <v>40</v>
      </c>
      <c r="C49" s="11" t="s">
        <v>495</v>
      </c>
      <c r="D49" s="12"/>
      <c r="E49" s="14" t="s">
        <v>1074</v>
      </c>
      <c r="F49" s="11" t="s">
        <v>486</v>
      </c>
      <c r="G49" s="11" t="s">
        <v>86</v>
      </c>
      <c r="H49" s="19" t="s">
        <v>1146</v>
      </c>
      <c r="I49" s="12"/>
      <c r="L49" s="21">
        <v>76</v>
      </c>
      <c r="M49" s="21">
        <v>76</v>
      </c>
      <c r="O49" s="24" t="s">
        <v>1118</v>
      </c>
      <c r="P49" s="24">
        <v>1</v>
      </c>
      <c r="Q49" s="24">
        <v>30</v>
      </c>
      <c r="R49" s="24">
        <v>4000</v>
      </c>
      <c r="S49" s="24" t="s">
        <v>1118</v>
      </c>
      <c r="T49" s="21">
        <v>76</v>
      </c>
      <c r="U49" s="21">
        <v>76</v>
      </c>
      <c r="V49" s="1">
        <f t="shared" si="5"/>
        <v>48</v>
      </c>
    </row>
    <row r="50" spans="1:22" ht="16.5" x14ac:dyDescent="0.35">
      <c r="A50" s="1" t="s">
        <v>39</v>
      </c>
      <c r="B50" s="10">
        <v>41</v>
      </c>
      <c r="C50" s="11" t="s">
        <v>496</v>
      </c>
      <c r="D50" s="12"/>
      <c r="E50" s="14" t="s">
        <v>1075</v>
      </c>
      <c r="F50" s="11" t="s">
        <v>497</v>
      </c>
      <c r="G50" s="11" t="s">
        <v>86</v>
      </c>
      <c r="H50" s="11" t="s">
        <v>939</v>
      </c>
      <c r="I50" s="12"/>
      <c r="L50" s="21">
        <v>19</v>
      </c>
      <c r="M50" s="21">
        <v>19</v>
      </c>
      <c r="O50" s="1" t="s">
        <v>1116</v>
      </c>
      <c r="P50" s="1">
        <v>5</v>
      </c>
      <c r="Q50" s="1"/>
      <c r="R50" s="1"/>
      <c r="S50" s="1" t="s">
        <v>1116</v>
      </c>
      <c r="T50" s="21">
        <v>19</v>
      </c>
      <c r="U50" s="21">
        <v>19</v>
      </c>
      <c r="V50" s="1">
        <f t="shared" si="5"/>
        <v>49</v>
      </c>
    </row>
    <row r="51" spans="1:22" ht="16.5" x14ac:dyDescent="0.35">
      <c r="A51" s="1" t="s">
        <v>39</v>
      </c>
      <c r="B51" s="10">
        <v>42</v>
      </c>
      <c r="C51" s="11" t="s">
        <v>498</v>
      </c>
      <c r="D51" s="12"/>
      <c r="E51" s="14" t="s">
        <v>1075</v>
      </c>
      <c r="F51" s="11" t="s">
        <v>497</v>
      </c>
      <c r="G51" s="11" t="s">
        <v>86</v>
      </c>
      <c r="H51" s="11" t="s">
        <v>939</v>
      </c>
      <c r="I51" s="12"/>
      <c r="L51" s="21">
        <v>19</v>
      </c>
      <c r="M51" s="21">
        <v>19</v>
      </c>
      <c r="O51" s="1" t="s">
        <v>1116</v>
      </c>
      <c r="P51" s="1">
        <v>5</v>
      </c>
      <c r="Q51" s="1"/>
      <c r="R51" s="1"/>
      <c r="S51" s="1" t="s">
        <v>1116</v>
      </c>
      <c r="T51" s="21">
        <v>19</v>
      </c>
      <c r="U51" s="21">
        <v>19</v>
      </c>
      <c r="V51" s="1">
        <f t="shared" si="5"/>
        <v>49</v>
      </c>
    </row>
    <row r="52" spans="1:22" ht="16.5" x14ac:dyDescent="0.35">
      <c r="A52" s="1" t="s">
        <v>39</v>
      </c>
      <c r="B52" s="10">
        <v>43</v>
      </c>
      <c r="C52" s="11" t="s">
        <v>499</v>
      </c>
      <c r="D52" s="12"/>
      <c r="E52" s="14" t="s">
        <v>1075</v>
      </c>
      <c r="F52" s="11" t="s">
        <v>497</v>
      </c>
      <c r="G52" s="11" t="s">
        <v>86</v>
      </c>
      <c r="H52" s="11" t="s">
        <v>939</v>
      </c>
      <c r="I52" s="12"/>
      <c r="L52" s="21">
        <v>19</v>
      </c>
      <c r="M52" s="21">
        <v>19</v>
      </c>
      <c r="O52" s="1" t="s">
        <v>1116</v>
      </c>
      <c r="P52" s="1">
        <v>5</v>
      </c>
      <c r="Q52" s="1"/>
      <c r="R52" s="1"/>
      <c r="S52" s="1" t="s">
        <v>1116</v>
      </c>
      <c r="T52" s="21">
        <v>19</v>
      </c>
      <c r="U52" s="21">
        <v>19</v>
      </c>
      <c r="V52" s="1">
        <f t="shared" si="5"/>
        <v>49</v>
      </c>
    </row>
    <row r="53" spans="1:22" ht="16.5" x14ac:dyDescent="0.35">
      <c r="A53" s="1" t="s">
        <v>39</v>
      </c>
      <c r="B53" s="10">
        <v>44</v>
      </c>
      <c r="C53" s="11" t="s">
        <v>500</v>
      </c>
      <c r="D53" s="12"/>
      <c r="E53" s="14" t="s">
        <v>1075</v>
      </c>
      <c r="F53" s="11" t="s">
        <v>497</v>
      </c>
      <c r="G53" s="11" t="s">
        <v>86</v>
      </c>
      <c r="H53" s="11" t="s">
        <v>939</v>
      </c>
      <c r="I53" s="12"/>
      <c r="L53" s="21">
        <v>19</v>
      </c>
      <c r="M53" s="21">
        <v>19</v>
      </c>
      <c r="O53" s="1" t="s">
        <v>1116</v>
      </c>
      <c r="P53" s="1">
        <v>5</v>
      </c>
      <c r="Q53" s="1"/>
      <c r="R53" s="1"/>
      <c r="S53" s="1" t="s">
        <v>1116</v>
      </c>
      <c r="T53" s="21">
        <v>19</v>
      </c>
      <c r="U53" s="21">
        <v>19</v>
      </c>
      <c r="V53" s="1">
        <f t="shared" si="5"/>
        <v>49</v>
      </c>
    </row>
    <row r="54" spans="1:22" ht="24" x14ac:dyDescent="0.35">
      <c r="A54" s="1" t="s">
        <v>39</v>
      </c>
      <c r="B54" s="10">
        <v>45</v>
      </c>
      <c r="C54" s="11" t="s">
        <v>501</v>
      </c>
      <c r="D54" s="12"/>
      <c r="E54" s="14" t="s">
        <v>1075</v>
      </c>
      <c r="F54" s="11" t="s">
        <v>497</v>
      </c>
      <c r="G54" s="11" t="s">
        <v>86</v>
      </c>
      <c r="H54" s="11" t="s">
        <v>930</v>
      </c>
      <c r="I54" s="12"/>
      <c r="L54" s="21"/>
      <c r="M54" s="21"/>
      <c r="O54" s="1"/>
      <c r="P54" s="1"/>
      <c r="Q54" s="1"/>
      <c r="R54" s="1"/>
      <c r="S54" s="1"/>
      <c r="T54" s="21"/>
      <c r="U54" s="21"/>
      <c r="V54" s="1">
        <f t="shared" si="5"/>
        <v>49</v>
      </c>
    </row>
    <row r="55" spans="1:22" ht="16.5" x14ac:dyDescent="0.35">
      <c r="A55" s="1" t="s">
        <v>39</v>
      </c>
      <c r="B55" s="10">
        <v>46</v>
      </c>
      <c r="C55" s="11" t="s">
        <v>502</v>
      </c>
      <c r="D55" s="12"/>
      <c r="E55" s="14" t="s">
        <v>1076</v>
      </c>
      <c r="F55" s="11" t="s">
        <v>497</v>
      </c>
      <c r="G55" s="11" t="s">
        <v>86</v>
      </c>
      <c r="H55" s="11" t="s">
        <v>940</v>
      </c>
      <c r="I55" s="12"/>
      <c r="L55" s="21">
        <v>19</v>
      </c>
      <c r="M55" s="21">
        <v>19</v>
      </c>
      <c r="O55" s="1" t="s">
        <v>1116</v>
      </c>
      <c r="P55" s="1">
        <v>5</v>
      </c>
      <c r="Q55" s="1"/>
      <c r="R55" s="1"/>
      <c r="S55" s="1" t="s">
        <v>1116</v>
      </c>
      <c r="T55" s="21">
        <v>19</v>
      </c>
      <c r="U55" s="21">
        <v>19</v>
      </c>
      <c r="V55" s="1">
        <f t="shared" si="5"/>
        <v>50</v>
      </c>
    </row>
    <row r="56" spans="1:22" ht="16.5" x14ac:dyDescent="0.35">
      <c r="A56" s="1" t="s">
        <v>39</v>
      </c>
      <c r="B56" s="10">
        <v>47</v>
      </c>
      <c r="C56" s="11" t="s">
        <v>503</v>
      </c>
      <c r="D56" s="12"/>
      <c r="E56" s="14" t="s">
        <v>1076</v>
      </c>
      <c r="F56" s="11" t="s">
        <v>497</v>
      </c>
      <c r="G56" s="11" t="s">
        <v>86</v>
      </c>
      <c r="H56" s="11" t="s">
        <v>940</v>
      </c>
      <c r="I56" s="12"/>
      <c r="L56" s="21">
        <v>19</v>
      </c>
      <c r="M56" s="21">
        <v>19</v>
      </c>
      <c r="O56" s="1" t="s">
        <v>1116</v>
      </c>
      <c r="P56" s="1">
        <v>5</v>
      </c>
      <c r="Q56" s="1"/>
      <c r="R56" s="1"/>
      <c r="S56" s="1" t="s">
        <v>1116</v>
      </c>
      <c r="T56" s="21">
        <v>19</v>
      </c>
      <c r="U56" s="21">
        <v>19</v>
      </c>
      <c r="V56" s="1">
        <f t="shared" si="5"/>
        <v>50</v>
      </c>
    </row>
    <row r="57" spans="1:22" ht="16.5" x14ac:dyDescent="0.35">
      <c r="A57" s="1" t="s">
        <v>39</v>
      </c>
      <c r="B57" s="10">
        <v>48</v>
      </c>
      <c r="C57" s="11" t="s">
        <v>504</v>
      </c>
      <c r="D57" s="12"/>
      <c r="E57" s="14" t="s">
        <v>1076</v>
      </c>
      <c r="F57" s="11" t="s">
        <v>497</v>
      </c>
      <c r="G57" s="11" t="s">
        <v>86</v>
      </c>
      <c r="H57" s="11" t="s">
        <v>940</v>
      </c>
      <c r="I57" s="12"/>
      <c r="L57" s="21">
        <v>19</v>
      </c>
      <c r="M57" s="21">
        <v>19</v>
      </c>
      <c r="O57" s="1" t="s">
        <v>1116</v>
      </c>
      <c r="P57" s="1">
        <v>5</v>
      </c>
      <c r="Q57" s="1"/>
      <c r="R57" s="1"/>
      <c r="S57" s="1" t="s">
        <v>1116</v>
      </c>
      <c r="T57" s="21">
        <v>19</v>
      </c>
      <c r="U57" s="21">
        <v>19</v>
      </c>
      <c r="V57" s="1">
        <f t="shared" si="5"/>
        <v>50</v>
      </c>
    </row>
    <row r="58" spans="1:22" ht="16.5" x14ac:dyDescent="0.35">
      <c r="A58" s="1" t="s">
        <v>39</v>
      </c>
      <c r="B58" s="10">
        <v>49</v>
      </c>
      <c r="C58" s="11" t="s">
        <v>505</v>
      </c>
      <c r="D58" s="12"/>
      <c r="E58" s="14" t="s">
        <v>1076</v>
      </c>
      <c r="F58" s="11" t="s">
        <v>497</v>
      </c>
      <c r="G58" s="11" t="s">
        <v>86</v>
      </c>
      <c r="H58" s="11" t="s">
        <v>932</v>
      </c>
      <c r="I58" s="12"/>
      <c r="L58" s="21">
        <v>19</v>
      </c>
      <c r="M58" s="21">
        <v>19</v>
      </c>
      <c r="O58" s="1" t="s">
        <v>1116</v>
      </c>
      <c r="P58" s="1">
        <v>5</v>
      </c>
      <c r="Q58" s="1"/>
      <c r="R58" s="1"/>
      <c r="S58" s="1" t="s">
        <v>1116</v>
      </c>
      <c r="T58" s="21">
        <v>19</v>
      </c>
      <c r="U58" s="21">
        <v>19</v>
      </c>
      <c r="V58" s="1">
        <f t="shared" si="5"/>
        <v>50</v>
      </c>
    </row>
    <row r="59" spans="1:22" ht="16.5" x14ac:dyDescent="0.35">
      <c r="A59" s="1" t="s">
        <v>39</v>
      </c>
      <c r="B59" s="10">
        <v>50</v>
      </c>
      <c r="C59" s="11" t="s">
        <v>506</v>
      </c>
      <c r="D59" s="12"/>
      <c r="E59" s="14" t="s">
        <v>1076</v>
      </c>
      <c r="F59" s="11" t="s">
        <v>497</v>
      </c>
      <c r="G59" s="11" t="s">
        <v>86</v>
      </c>
      <c r="H59" s="11" t="s">
        <v>1129</v>
      </c>
      <c r="I59" s="12"/>
      <c r="L59" s="21">
        <v>76</v>
      </c>
      <c r="M59" s="21">
        <v>76</v>
      </c>
      <c r="O59" s="24" t="s">
        <v>1118</v>
      </c>
      <c r="P59" s="24">
        <v>1</v>
      </c>
      <c r="Q59" s="24">
        <v>15</v>
      </c>
      <c r="R59" s="24">
        <v>4000</v>
      </c>
      <c r="S59" s="24" t="s">
        <v>1118</v>
      </c>
      <c r="T59" s="21">
        <v>76</v>
      </c>
      <c r="U59" s="21">
        <v>76</v>
      </c>
      <c r="V59" s="1">
        <f t="shared" si="5"/>
        <v>50</v>
      </c>
    </row>
    <row r="60" spans="1:22" x14ac:dyDescent="0.15">
      <c r="A60" s="1"/>
      <c r="B60" s="10"/>
      <c r="C60" s="1"/>
      <c r="D60" s="1"/>
      <c r="E60" s="1"/>
      <c r="F60" s="1"/>
      <c r="G60" s="1"/>
      <c r="H60" s="1"/>
      <c r="I60" s="1"/>
    </row>
    <row r="61" spans="1:22" x14ac:dyDescent="0.15">
      <c r="A61" s="1"/>
      <c r="B61" s="10"/>
      <c r="C61" s="1"/>
      <c r="D61" s="1"/>
      <c r="E61" s="1"/>
      <c r="F61" s="1"/>
      <c r="G61" s="1"/>
      <c r="H61" s="1"/>
      <c r="I61" s="1"/>
    </row>
    <row r="62" spans="1:22" x14ac:dyDescent="0.15">
      <c r="A62" s="1"/>
      <c r="B62" s="10"/>
      <c r="C62" s="1"/>
      <c r="D62" s="1"/>
      <c r="E62" s="1"/>
      <c r="F62" s="1"/>
      <c r="G62" s="1"/>
      <c r="H62" s="1"/>
      <c r="I62" s="1"/>
    </row>
    <row r="63" spans="1:22" x14ac:dyDescent="0.15">
      <c r="A63" s="1"/>
      <c r="B63" s="10"/>
      <c r="C63" s="1"/>
      <c r="D63" s="1"/>
      <c r="E63" s="1"/>
      <c r="F63" s="1"/>
      <c r="G63" s="1"/>
      <c r="H63" s="1"/>
      <c r="I63" s="1"/>
    </row>
    <row r="64" spans="1:22" x14ac:dyDescent="0.15">
      <c r="A64" s="1"/>
      <c r="B64" s="10"/>
      <c r="C64" s="1"/>
      <c r="D64" s="1"/>
      <c r="E64" s="1"/>
      <c r="F64" s="1"/>
      <c r="G64" s="1"/>
      <c r="H64" s="1"/>
      <c r="I64" s="1"/>
    </row>
    <row r="65" spans="1:9" x14ac:dyDescent="0.15">
      <c r="A65" s="1"/>
      <c r="B65" s="10"/>
      <c r="C65" s="1"/>
      <c r="D65" s="1"/>
      <c r="E65" s="1"/>
      <c r="F65" s="1"/>
      <c r="G65" s="1"/>
      <c r="H65" s="1"/>
      <c r="I65" s="1"/>
    </row>
    <row r="66" spans="1:9" x14ac:dyDescent="0.15">
      <c r="A66" s="1"/>
      <c r="B66" s="10"/>
      <c r="C66" s="1"/>
      <c r="D66" s="1"/>
      <c r="E66" s="1"/>
      <c r="F66" s="1"/>
      <c r="G66" s="1"/>
      <c r="H66" s="1"/>
      <c r="I66" s="1"/>
    </row>
    <row r="67" spans="1:9" x14ac:dyDescent="0.15">
      <c r="A67" s="1"/>
      <c r="B67" s="10"/>
      <c r="C67" s="1"/>
      <c r="D67" s="1"/>
      <c r="E67" s="1"/>
      <c r="F67" s="1"/>
      <c r="G67" s="1"/>
      <c r="H67" s="1"/>
      <c r="I67" s="1"/>
    </row>
  </sheetData>
  <phoneticPr fontId="35" type="noConversion"/>
  <conditionalFormatting sqref="B1:B3 B5:B67">
    <cfRule type="duplicateValues" dxfId="9" priority="1"/>
  </conditionalFormatting>
  <pageMargins left="0.7" right="0.7" top="0.75" bottom="0.75" header="0.3" footer="0.3"/>
  <pageSetup paperSize="9"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zoomScaleNormal="100" workbookViewId="0">
      <pane xSplit="3" ySplit="9" topLeftCell="D16" activePane="bottomRight" state="frozen"/>
      <selection pane="topRight"/>
      <selection pane="bottomLeft"/>
      <selection pane="bottomRight" activeCell="H24" sqref="H24"/>
    </sheetView>
  </sheetViews>
  <sheetFormatPr defaultColWidth="9" defaultRowHeight="13.5" x14ac:dyDescent="0.15"/>
  <cols>
    <col min="2" max="2" width="4.5" customWidth="1"/>
    <col min="3" max="3" width="7.875" customWidth="1"/>
    <col min="4" max="4" width="6.875" customWidth="1"/>
    <col min="5" max="5" width="38.75" customWidth="1"/>
    <col min="6" max="6" width="12.875" customWidth="1"/>
    <col min="7" max="7" width="15.125" customWidth="1"/>
    <col min="8" max="8" width="92" customWidth="1"/>
    <col min="9" max="9" width="9.375" customWidth="1"/>
    <col min="10" max="10" width="13.125" customWidth="1"/>
    <col min="11" max="11" width="14.5" style="1" customWidth="1"/>
    <col min="12" max="12" width="9" customWidth="1"/>
    <col min="15" max="19" width="46.625" customWidth="1"/>
  </cols>
  <sheetData>
    <row r="1" spans="1:22" x14ac:dyDescent="0.15">
      <c r="A1" s="2" t="s">
        <v>38</v>
      </c>
      <c r="B1" s="3" t="s">
        <v>39</v>
      </c>
      <c r="C1" s="3" t="s">
        <v>39</v>
      </c>
      <c r="D1" s="3" t="s">
        <v>39</v>
      </c>
      <c r="E1" s="3" t="s">
        <v>39</v>
      </c>
      <c r="F1" s="3" t="s">
        <v>39</v>
      </c>
      <c r="G1" s="3" t="s">
        <v>39</v>
      </c>
      <c r="H1" s="3" t="s">
        <v>39</v>
      </c>
      <c r="I1" s="3" t="s">
        <v>39</v>
      </c>
      <c r="J1" s="3" t="s">
        <v>39</v>
      </c>
      <c r="K1" s="3" t="s">
        <v>39</v>
      </c>
      <c r="L1" s="3" t="s">
        <v>39</v>
      </c>
      <c r="M1" s="3" t="s">
        <v>39</v>
      </c>
      <c r="N1" s="3" t="s">
        <v>39</v>
      </c>
      <c r="O1" s="3" t="s">
        <v>39</v>
      </c>
      <c r="P1" s="3" t="s">
        <v>39</v>
      </c>
      <c r="Q1" s="3" t="s">
        <v>39</v>
      </c>
      <c r="R1" s="3" t="s">
        <v>39</v>
      </c>
      <c r="S1" s="3" t="s">
        <v>39</v>
      </c>
      <c r="T1" s="3" t="s">
        <v>39</v>
      </c>
      <c r="U1" s="3" t="s">
        <v>39</v>
      </c>
      <c r="V1" s="3" t="s">
        <v>39</v>
      </c>
    </row>
    <row r="2" spans="1:22" x14ac:dyDescent="0.15">
      <c r="A2" s="2" t="s">
        <v>40</v>
      </c>
      <c r="B2" s="3" t="s">
        <v>39</v>
      </c>
      <c r="C2" s="3" t="s">
        <v>39</v>
      </c>
      <c r="D2" s="3" t="s">
        <v>39</v>
      </c>
      <c r="E2" s="3" t="s">
        <v>39</v>
      </c>
      <c r="F2" s="3" t="s">
        <v>39</v>
      </c>
      <c r="G2" s="3" t="s">
        <v>39</v>
      </c>
      <c r="H2" s="3" t="s">
        <v>39</v>
      </c>
      <c r="I2" s="3" t="s">
        <v>39</v>
      </c>
      <c r="J2" s="3" t="s">
        <v>39</v>
      </c>
      <c r="K2" s="3" t="s">
        <v>39</v>
      </c>
      <c r="L2" s="3" t="s">
        <v>39</v>
      </c>
      <c r="M2" s="3" t="s">
        <v>39</v>
      </c>
      <c r="N2" s="3" t="s">
        <v>39</v>
      </c>
      <c r="O2" s="3" t="s">
        <v>39</v>
      </c>
      <c r="P2" s="3" t="s">
        <v>39</v>
      </c>
      <c r="Q2" s="3" t="s">
        <v>39</v>
      </c>
      <c r="R2" s="3" t="s">
        <v>39</v>
      </c>
      <c r="S2" s="3" t="s">
        <v>39</v>
      </c>
      <c r="T2" s="3" t="s">
        <v>39</v>
      </c>
      <c r="U2" s="3" t="s">
        <v>39</v>
      </c>
      <c r="V2" s="3" t="s">
        <v>39</v>
      </c>
    </row>
    <row r="3" spans="1:22" ht="14.25" x14ac:dyDescent="0.15">
      <c r="A3" s="4" t="s">
        <v>39</v>
      </c>
      <c r="B3" s="4" t="s">
        <v>41</v>
      </c>
      <c r="C3" s="5" t="s">
        <v>42</v>
      </c>
      <c r="D3" s="5" t="s">
        <v>42</v>
      </c>
      <c r="E3" s="5" t="s">
        <v>42</v>
      </c>
      <c r="F3" s="5" t="s">
        <v>42</v>
      </c>
      <c r="G3" s="5" t="s">
        <v>42</v>
      </c>
      <c r="H3" s="5" t="s">
        <v>42</v>
      </c>
      <c r="I3" s="5" t="s">
        <v>42</v>
      </c>
      <c r="J3" s="5" t="s">
        <v>41</v>
      </c>
      <c r="K3" s="5" t="s">
        <v>41</v>
      </c>
      <c r="L3" s="5" t="s">
        <v>41</v>
      </c>
      <c r="M3" s="5" t="s">
        <v>41</v>
      </c>
      <c r="N3" s="5" t="s">
        <v>41</v>
      </c>
      <c r="O3" s="5" t="s">
        <v>42</v>
      </c>
      <c r="P3" s="5" t="s">
        <v>41</v>
      </c>
      <c r="Q3" s="5" t="s">
        <v>41</v>
      </c>
      <c r="R3" s="5" t="s">
        <v>41</v>
      </c>
      <c r="S3" s="5" t="s">
        <v>42</v>
      </c>
      <c r="T3" s="5" t="s">
        <v>41</v>
      </c>
      <c r="U3" s="5" t="s">
        <v>981</v>
      </c>
      <c r="V3" s="5" t="s">
        <v>989</v>
      </c>
    </row>
    <row r="4" spans="1:22" ht="14.25" x14ac:dyDescent="0.15">
      <c r="A4" s="4"/>
      <c r="B4" s="4" t="s">
        <v>43</v>
      </c>
      <c r="C4" s="4" t="s">
        <v>188</v>
      </c>
      <c r="D4" s="4" t="s">
        <v>44</v>
      </c>
      <c r="E4" s="4" t="s">
        <v>189</v>
      </c>
      <c r="F4" s="4" t="s">
        <v>190</v>
      </c>
      <c r="G4" s="4" t="s">
        <v>191</v>
      </c>
      <c r="H4" s="4" t="s">
        <v>192</v>
      </c>
      <c r="I4" s="4" t="s">
        <v>193</v>
      </c>
      <c r="J4" s="5" t="s">
        <v>194</v>
      </c>
      <c r="K4" s="5" t="s">
        <v>195</v>
      </c>
      <c r="L4" s="5" t="s">
        <v>196</v>
      </c>
      <c r="M4" s="5" t="s">
        <v>197</v>
      </c>
      <c r="N4" s="5" t="s">
        <v>198</v>
      </c>
      <c r="O4" s="5" t="s">
        <v>199</v>
      </c>
      <c r="P4" s="5" t="s">
        <v>200</v>
      </c>
      <c r="Q4" s="5" t="s">
        <v>201</v>
      </c>
      <c r="R4" s="5" t="s">
        <v>202</v>
      </c>
      <c r="S4" s="5" t="s">
        <v>203</v>
      </c>
      <c r="T4" s="5" t="s">
        <v>204</v>
      </c>
      <c r="U4" s="5" t="s">
        <v>982</v>
      </c>
      <c r="V4" s="5" t="s">
        <v>990</v>
      </c>
    </row>
    <row r="5" spans="1:22" ht="14.25" x14ac:dyDescent="0.15">
      <c r="A5" s="4"/>
      <c r="B5" s="4" t="str">
        <f>IF(B3="","",IF(B3="INT","i",IF(B3="FLOAT","f",IF(B3="STRING","s"))))</f>
        <v>i</v>
      </c>
      <c r="C5" s="5" t="s">
        <v>68</v>
      </c>
      <c r="D5" s="5" t="s">
        <v>68</v>
      </c>
      <c r="E5" s="5" t="s">
        <v>68</v>
      </c>
      <c r="F5" s="5" t="s">
        <v>68</v>
      </c>
      <c r="G5" s="5" t="s">
        <v>68</v>
      </c>
      <c r="H5" s="5" t="s">
        <v>68</v>
      </c>
      <c r="I5" s="5" t="s">
        <v>68</v>
      </c>
      <c r="J5" s="5" t="s">
        <v>67</v>
      </c>
      <c r="K5" s="5" t="s">
        <v>67</v>
      </c>
      <c r="L5" s="5" t="s">
        <v>67</v>
      </c>
      <c r="M5" s="5" t="s">
        <v>67</v>
      </c>
      <c r="N5" s="5" t="s">
        <v>67</v>
      </c>
      <c r="O5" s="5" t="s">
        <v>68</v>
      </c>
      <c r="P5" s="5" t="s">
        <v>67</v>
      </c>
      <c r="Q5" s="5" t="s">
        <v>67</v>
      </c>
      <c r="R5" s="5" t="s">
        <v>67</v>
      </c>
      <c r="S5" s="5" t="s">
        <v>68</v>
      </c>
      <c r="T5" s="5" t="s">
        <v>67</v>
      </c>
      <c r="U5" s="5" t="s">
        <v>67</v>
      </c>
      <c r="V5" s="5" t="s">
        <v>67</v>
      </c>
    </row>
    <row r="6" spans="1:22" ht="14.25" x14ac:dyDescent="0.15">
      <c r="A6" s="4" t="s">
        <v>39</v>
      </c>
      <c r="B6" s="4" t="str">
        <f t="shared" ref="B6:E6" si="0">B5&amp;B4</f>
        <v>iID</v>
      </c>
      <c r="C6" s="5" t="str">
        <f t="shared" si="0"/>
        <v>sRoomID</v>
      </c>
      <c r="D6" s="5" t="str">
        <f t="shared" si="0"/>
        <v>sNotes</v>
      </c>
      <c r="E6" s="5" t="str">
        <f t="shared" si="0"/>
        <v>sAttributes</v>
      </c>
      <c r="F6" s="5" t="str">
        <f t="shared" ref="F6:Q6" si="1">F5&amp;F4</f>
        <v>sMapAttributes</v>
      </c>
      <c r="G6" s="5" t="str">
        <f t="shared" si="1"/>
        <v>sStandardDefence</v>
      </c>
      <c r="H6" s="5" t="str">
        <f t="shared" si="1"/>
        <v>sRoomIDs</v>
      </c>
      <c r="I6" s="5" t="str">
        <f t="shared" si="1"/>
        <v>sRoomIDs1</v>
      </c>
      <c r="J6" s="5" t="str">
        <f t="shared" si="1"/>
        <v>iCheatValue</v>
      </c>
      <c r="K6" s="5" t="str">
        <f t="shared" si="1"/>
        <v>iBattleValue</v>
      </c>
      <c r="L6" s="5" t="str">
        <f t="shared" si="1"/>
        <v>iGoldAdd</v>
      </c>
      <c r="M6" s="5" t="str">
        <f t="shared" si="1"/>
        <v>iExpAdd</v>
      </c>
      <c r="N6" s="5" t="str">
        <f t="shared" si="1"/>
        <v>iAwardHero</v>
      </c>
      <c r="O6" s="5" t="str">
        <f t="shared" si="1"/>
        <v>sOutPut</v>
      </c>
      <c r="P6" s="5" t="str">
        <f t="shared" si="1"/>
        <v>iDropCount</v>
      </c>
      <c r="Q6" s="5" t="str">
        <f t="shared" si="1"/>
        <v>iCatchTime</v>
      </c>
      <c r="R6" s="5" t="str">
        <f t="shared" ref="R6:S6" si="2">R5&amp;R4</f>
        <v>iCatchProb</v>
      </c>
      <c r="S6" s="5" t="str">
        <f t="shared" si="2"/>
        <v>sFirstOutPut</v>
      </c>
      <c r="T6" s="5" t="str">
        <f t="shared" ref="T6:V6" si="3">T5&amp;T4</f>
        <v>iFirstExpAdd</v>
      </c>
      <c r="U6" s="5" t="str">
        <f t="shared" si="3"/>
        <v>iFirstGoldAdd</v>
      </c>
      <c r="V6" s="5" t="str">
        <f t="shared" si="3"/>
        <v>iMonsLv</v>
      </c>
    </row>
    <row r="7" spans="1:22" ht="14.25" x14ac:dyDescent="0.15">
      <c r="A7" s="4"/>
      <c r="B7" s="4" t="s">
        <v>206</v>
      </c>
      <c r="C7" s="6" t="s">
        <v>207</v>
      </c>
      <c r="D7" s="6" t="s">
        <v>208</v>
      </c>
      <c r="E7" s="6" t="s">
        <v>209</v>
      </c>
      <c r="F7" s="6" t="s">
        <v>210</v>
      </c>
      <c r="G7" s="6"/>
      <c r="H7" s="6" t="s">
        <v>211</v>
      </c>
      <c r="I7" s="6" t="s">
        <v>212</v>
      </c>
      <c r="J7" s="6" t="s">
        <v>213</v>
      </c>
      <c r="K7" s="6" t="s">
        <v>214</v>
      </c>
      <c r="L7" s="6" t="s">
        <v>215</v>
      </c>
      <c r="M7" s="6" t="s">
        <v>216</v>
      </c>
      <c r="N7" s="6" t="s">
        <v>217</v>
      </c>
      <c r="O7" s="6" t="s">
        <v>218</v>
      </c>
      <c r="P7" s="6" t="s">
        <v>219</v>
      </c>
      <c r="Q7" s="6" t="s">
        <v>220</v>
      </c>
      <c r="R7" s="6" t="s">
        <v>221</v>
      </c>
      <c r="S7" s="6" t="s">
        <v>222</v>
      </c>
      <c r="T7" s="6" t="s">
        <v>223</v>
      </c>
      <c r="U7" s="6" t="s">
        <v>984</v>
      </c>
      <c r="V7" s="6" t="s">
        <v>991</v>
      </c>
    </row>
    <row r="8" spans="1:22" ht="14.25" x14ac:dyDescent="0.15">
      <c r="A8" s="4" t="s">
        <v>78</v>
      </c>
      <c r="B8" s="4">
        <v>0</v>
      </c>
      <c r="C8" s="6">
        <v>0</v>
      </c>
      <c r="D8" s="6"/>
      <c r="E8" s="6"/>
      <c r="F8" s="6"/>
      <c r="G8" s="6"/>
      <c r="H8" s="6"/>
      <c r="I8" s="6"/>
      <c r="J8" s="6">
        <v>10000</v>
      </c>
      <c r="K8" s="6">
        <v>10000</v>
      </c>
      <c r="L8" s="6">
        <v>0</v>
      </c>
      <c r="M8" s="6">
        <v>0</v>
      </c>
      <c r="N8" s="6"/>
      <c r="O8" s="6"/>
      <c r="P8" s="6">
        <v>0</v>
      </c>
      <c r="Q8" s="6">
        <v>0</v>
      </c>
      <c r="R8" s="6">
        <v>0</v>
      </c>
      <c r="S8" s="6"/>
      <c r="T8" s="6">
        <v>0</v>
      </c>
      <c r="U8" s="6">
        <v>0</v>
      </c>
      <c r="V8" s="6">
        <v>1</v>
      </c>
    </row>
    <row r="9" spans="1:22" ht="14.25" x14ac:dyDescent="0.15">
      <c r="A9" s="7"/>
      <c r="B9" s="7"/>
      <c r="C9" s="8"/>
      <c r="D9" s="8"/>
      <c r="E9" s="9"/>
      <c r="F9" s="8"/>
      <c r="G9" s="8"/>
      <c r="H9" s="8"/>
      <c r="I9" s="8"/>
      <c r="J9" s="8" t="s">
        <v>224</v>
      </c>
      <c r="K9" s="8" t="s">
        <v>224</v>
      </c>
      <c r="L9" s="8"/>
      <c r="M9" s="8"/>
      <c r="N9" s="8"/>
      <c r="O9" s="8" t="s">
        <v>374</v>
      </c>
      <c r="P9" s="8"/>
      <c r="Q9" s="8" t="s">
        <v>284</v>
      </c>
      <c r="R9" s="8" t="s">
        <v>227</v>
      </c>
      <c r="S9" s="8" t="s">
        <v>225</v>
      </c>
      <c r="T9" s="8"/>
    </row>
    <row r="10" spans="1:22" ht="24" x14ac:dyDescent="0.35">
      <c r="A10" s="1" t="s">
        <v>39</v>
      </c>
      <c r="B10" s="10">
        <v>1</v>
      </c>
      <c r="C10" s="11" t="s">
        <v>507</v>
      </c>
      <c r="D10" s="12"/>
      <c r="E10" s="14" t="s">
        <v>1077</v>
      </c>
      <c r="F10" s="11" t="s">
        <v>470</v>
      </c>
      <c r="G10" s="11" t="s">
        <v>86</v>
      </c>
      <c r="H10" s="11" t="s">
        <v>1245</v>
      </c>
      <c r="I10" s="12"/>
      <c r="L10" s="21">
        <v>49</v>
      </c>
      <c r="M10" s="21">
        <v>49</v>
      </c>
      <c r="O10" s="40" t="s">
        <v>1119</v>
      </c>
      <c r="P10" s="21">
        <v>5</v>
      </c>
      <c r="Q10" s="21"/>
      <c r="R10" s="21"/>
      <c r="S10" s="40" t="s">
        <v>1119</v>
      </c>
      <c r="T10" s="21">
        <v>49</v>
      </c>
      <c r="U10" s="21">
        <v>49</v>
      </c>
      <c r="V10" s="1">
        <v>51</v>
      </c>
    </row>
    <row r="11" spans="1:22" ht="24" x14ac:dyDescent="0.35">
      <c r="A11" s="1" t="s">
        <v>39</v>
      </c>
      <c r="B11" s="10">
        <v>2</v>
      </c>
      <c r="C11" s="11" t="s">
        <v>508</v>
      </c>
      <c r="D11" s="12"/>
      <c r="E11" s="14" t="s">
        <v>1077</v>
      </c>
      <c r="F11" s="11" t="s">
        <v>470</v>
      </c>
      <c r="G11" s="11" t="s">
        <v>86</v>
      </c>
      <c r="H11" s="11" t="s">
        <v>1244</v>
      </c>
      <c r="I11" s="12"/>
      <c r="L11" s="21"/>
      <c r="M11" s="21"/>
      <c r="P11" s="21"/>
      <c r="Q11" s="21"/>
      <c r="R11" s="21"/>
      <c r="T11" s="21"/>
      <c r="U11" s="21"/>
      <c r="V11" s="1">
        <v>51</v>
      </c>
    </row>
    <row r="12" spans="1:22" ht="24" x14ac:dyDescent="0.35">
      <c r="A12" s="1" t="s">
        <v>39</v>
      </c>
      <c r="B12" s="10">
        <v>3</v>
      </c>
      <c r="C12" s="11" t="s">
        <v>509</v>
      </c>
      <c r="D12" s="12"/>
      <c r="E12" s="14" t="s">
        <v>1078</v>
      </c>
      <c r="F12" s="11" t="s">
        <v>470</v>
      </c>
      <c r="G12" s="11" t="s">
        <v>86</v>
      </c>
      <c r="H12" s="11" t="s">
        <v>1246</v>
      </c>
      <c r="I12" s="12"/>
      <c r="L12" s="21">
        <v>49</v>
      </c>
      <c r="M12" s="21">
        <v>49</v>
      </c>
      <c r="O12" s="40" t="s">
        <v>1119</v>
      </c>
      <c r="P12" s="21">
        <v>5</v>
      </c>
      <c r="Q12" s="21"/>
      <c r="R12" s="21"/>
      <c r="S12" s="40" t="s">
        <v>1119</v>
      </c>
      <c r="T12" s="21">
        <v>49</v>
      </c>
      <c r="U12" s="21">
        <v>49</v>
      </c>
      <c r="V12" s="1">
        <v>51</v>
      </c>
    </row>
    <row r="13" spans="1:22" ht="24" x14ac:dyDescent="0.35">
      <c r="A13" s="1" t="s">
        <v>39</v>
      </c>
      <c r="B13" s="10">
        <v>4</v>
      </c>
      <c r="C13" s="11" t="s">
        <v>510</v>
      </c>
      <c r="D13" s="12"/>
      <c r="E13" s="14" t="s">
        <v>1078</v>
      </c>
      <c r="F13" s="11" t="s">
        <v>470</v>
      </c>
      <c r="G13" s="11" t="s">
        <v>86</v>
      </c>
      <c r="H13" s="11" t="s">
        <v>941</v>
      </c>
      <c r="I13" s="12"/>
      <c r="L13" s="21"/>
      <c r="M13" s="21"/>
      <c r="P13" s="21"/>
      <c r="Q13" s="21"/>
      <c r="R13" s="21"/>
      <c r="T13" s="21"/>
      <c r="U13" s="21"/>
      <c r="V13" s="1">
        <v>51</v>
      </c>
    </row>
    <row r="14" spans="1:22" s="13" customFormat="1" ht="24" x14ac:dyDescent="0.35">
      <c r="A14" s="15" t="s">
        <v>39</v>
      </c>
      <c r="B14" s="15">
        <v>5</v>
      </c>
      <c r="C14" s="16" t="s">
        <v>511</v>
      </c>
      <c r="D14" s="17"/>
      <c r="E14" s="18" t="s">
        <v>1079</v>
      </c>
      <c r="F14" s="16" t="s">
        <v>470</v>
      </c>
      <c r="G14" s="16" t="s">
        <v>86</v>
      </c>
      <c r="H14" s="19" t="s">
        <v>1122</v>
      </c>
      <c r="I14" s="17"/>
      <c r="K14" s="15"/>
      <c r="L14" s="22">
        <v>196</v>
      </c>
      <c r="M14" s="22">
        <v>196</v>
      </c>
      <c r="O14" s="23" t="s">
        <v>1120</v>
      </c>
      <c r="P14" s="22">
        <v>1</v>
      </c>
      <c r="Q14" s="22">
        <v>30</v>
      </c>
      <c r="R14" s="22">
        <v>3000</v>
      </c>
      <c r="S14" s="23" t="s">
        <v>1120</v>
      </c>
      <c r="T14" s="22">
        <v>196</v>
      </c>
      <c r="U14" s="22">
        <v>196</v>
      </c>
      <c r="V14" s="1">
        <v>51</v>
      </c>
    </row>
    <row r="15" spans="1:22" ht="24" x14ac:dyDescent="0.35">
      <c r="A15" s="1" t="s">
        <v>39</v>
      </c>
      <c r="B15" s="10">
        <v>6</v>
      </c>
      <c r="C15" s="11" t="s">
        <v>512</v>
      </c>
      <c r="D15" s="12"/>
      <c r="E15" s="14" t="s">
        <v>1080</v>
      </c>
      <c r="F15" s="11" t="s">
        <v>470</v>
      </c>
      <c r="G15" s="11" t="s">
        <v>86</v>
      </c>
      <c r="H15" s="11" t="s">
        <v>1247</v>
      </c>
      <c r="I15" s="12"/>
      <c r="L15" s="21">
        <v>49</v>
      </c>
      <c r="M15" s="21">
        <v>49</v>
      </c>
      <c r="O15" s="40" t="s">
        <v>1119</v>
      </c>
      <c r="P15" s="21">
        <v>5</v>
      </c>
      <c r="Q15" s="21"/>
      <c r="R15" s="21"/>
      <c r="S15" s="40" t="s">
        <v>1119</v>
      </c>
      <c r="T15" s="21">
        <v>49</v>
      </c>
      <c r="U15" s="21">
        <v>49</v>
      </c>
      <c r="V15" s="1">
        <f>V10+1</f>
        <v>52</v>
      </c>
    </row>
    <row r="16" spans="1:22" ht="24" x14ac:dyDescent="0.35">
      <c r="A16" s="1" t="s">
        <v>39</v>
      </c>
      <c r="B16" s="10">
        <v>7</v>
      </c>
      <c r="C16" s="11" t="s">
        <v>513</v>
      </c>
      <c r="D16" s="12"/>
      <c r="E16" s="14" t="s">
        <v>1080</v>
      </c>
      <c r="F16" s="11" t="s">
        <v>514</v>
      </c>
      <c r="G16" s="11" t="s">
        <v>86</v>
      </c>
      <c r="H16" s="11" t="s">
        <v>941</v>
      </c>
      <c r="I16" s="12"/>
      <c r="L16" s="21"/>
      <c r="M16" s="21"/>
      <c r="P16" s="21"/>
      <c r="Q16" s="21"/>
      <c r="R16" s="21"/>
      <c r="T16" s="21"/>
      <c r="U16" s="21"/>
      <c r="V16" s="1">
        <f t="shared" ref="V16:V59" si="4">V11+1</f>
        <v>52</v>
      </c>
    </row>
    <row r="17" spans="1:22" ht="24" x14ac:dyDescent="0.35">
      <c r="A17" s="1" t="s">
        <v>39</v>
      </c>
      <c r="B17" s="10">
        <v>8</v>
      </c>
      <c r="C17" s="11" t="s">
        <v>515</v>
      </c>
      <c r="D17" s="12"/>
      <c r="E17" s="14" t="s">
        <v>1081</v>
      </c>
      <c r="F17" s="11" t="s">
        <v>514</v>
      </c>
      <c r="G17" s="11" t="s">
        <v>86</v>
      </c>
      <c r="H17" s="11" t="s">
        <v>1248</v>
      </c>
      <c r="I17" s="12"/>
      <c r="L17" s="21">
        <v>49</v>
      </c>
      <c r="M17" s="21">
        <v>49</v>
      </c>
      <c r="O17" s="40" t="s">
        <v>1119</v>
      </c>
      <c r="P17" s="21">
        <v>5</v>
      </c>
      <c r="Q17" s="21"/>
      <c r="R17" s="21"/>
      <c r="S17" s="40" t="s">
        <v>1119</v>
      </c>
      <c r="T17" s="21">
        <v>49</v>
      </c>
      <c r="U17" s="21">
        <v>49</v>
      </c>
      <c r="V17" s="1">
        <f t="shared" si="4"/>
        <v>52</v>
      </c>
    </row>
    <row r="18" spans="1:22" ht="24" x14ac:dyDescent="0.35">
      <c r="A18" s="1" t="s">
        <v>39</v>
      </c>
      <c r="B18" s="10">
        <v>9</v>
      </c>
      <c r="C18" s="11" t="s">
        <v>516</v>
      </c>
      <c r="D18" s="12"/>
      <c r="E18" s="14" t="s">
        <v>1081</v>
      </c>
      <c r="F18" s="11" t="s">
        <v>514</v>
      </c>
      <c r="G18" s="11" t="s">
        <v>86</v>
      </c>
      <c r="H18" s="11" t="s">
        <v>941</v>
      </c>
      <c r="I18" s="12"/>
      <c r="L18" s="21"/>
      <c r="M18" s="21"/>
      <c r="P18" s="21"/>
      <c r="Q18" s="21"/>
      <c r="R18" s="21"/>
      <c r="T18" s="21"/>
      <c r="U18" s="21"/>
      <c r="V18" s="1">
        <f t="shared" si="4"/>
        <v>52</v>
      </c>
    </row>
    <row r="19" spans="1:22" s="13" customFormat="1" ht="24" x14ac:dyDescent="0.35">
      <c r="A19" s="15" t="s">
        <v>39</v>
      </c>
      <c r="B19" s="15">
        <v>10</v>
      </c>
      <c r="C19" s="16" t="s">
        <v>517</v>
      </c>
      <c r="D19" s="17"/>
      <c r="E19" s="18" t="s">
        <v>1082</v>
      </c>
      <c r="F19" s="16" t="s">
        <v>514</v>
      </c>
      <c r="G19" s="16" t="s">
        <v>86</v>
      </c>
      <c r="H19" s="19" t="s">
        <v>1140</v>
      </c>
      <c r="I19" s="17"/>
      <c r="K19" s="15"/>
      <c r="L19" s="22">
        <v>196</v>
      </c>
      <c r="M19" s="22">
        <v>196</v>
      </c>
      <c r="O19" s="23" t="s">
        <v>1121</v>
      </c>
      <c r="P19" s="22">
        <v>1</v>
      </c>
      <c r="Q19" s="22">
        <v>30</v>
      </c>
      <c r="R19" s="22">
        <v>3000</v>
      </c>
      <c r="S19" s="23" t="s">
        <v>1121</v>
      </c>
      <c r="T19" s="22">
        <v>196</v>
      </c>
      <c r="U19" s="22">
        <v>196</v>
      </c>
      <c r="V19" s="1">
        <f t="shared" si="4"/>
        <v>52</v>
      </c>
    </row>
    <row r="20" spans="1:22" ht="24" x14ac:dyDescent="0.35">
      <c r="A20" s="1" t="s">
        <v>39</v>
      </c>
      <c r="B20" s="10">
        <v>11</v>
      </c>
      <c r="C20" s="11" t="s">
        <v>518</v>
      </c>
      <c r="D20" s="12"/>
      <c r="E20" s="14" t="s">
        <v>1083</v>
      </c>
      <c r="F20" s="11" t="s">
        <v>514</v>
      </c>
      <c r="G20" s="11" t="s">
        <v>86</v>
      </c>
      <c r="H20" s="11" t="s">
        <v>1250</v>
      </c>
      <c r="I20" s="12"/>
      <c r="L20" s="21">
        <v>49</v>
      </c>
      <c r="M20" s="21">
        <v>49</v>
      </c>
      <c r="O20" s="40" t="s">
        <v>1119</v>
      </c>
      <c r="P20" s="21">
        <v>5</v>
      </c>
      <c r="Q20" s="21"/>
      <c r="R20" s="21"/>
      <c r="S20" s="40" t="s">
        <v>1119</v>
      </c>
      <c r="T20" s="21">
        <v>49</v>
      </c>
      <c r="U20" s="21">
        <v>49</v>
      </c>
      <c r="V20" s="1">
        <f t="shared" si="4"/>
        <v>53</v>
      </c>
    </row>
    <row r="21" spans="1:22" ht="24" x14ac:dyDescent="0.35">
      <c r="A21" s="1" t="s">
        <v>39</v>
      </c>
      <c r="B21" s="10">
        <v>12</v>
      </c>
      <c r="C21" s="11" t="s">
        <v>519</v>
      </c>
      <c r="D21" s="12"/>
      <c r="E21" s="14" t="s">
        <v>1083</v>
      </c>
      <c r="F21" s="11" t="s">
        <v>514</v>
      </c>
      <c r="G21" s="11" t="s">
        <v>86</v>
      </c>
      <c r="H21" s="11" t="s">
        <v>941</v>
      </c>
      <c r="I21" s="12"/>
      <c r="L21" s="21"/>
      <c r="M21" s="21"/>
      <c r="P21" s="21"/>
      <c r="Q21" s="21"/>
      <c r="R21" s="21"/>
      <c r="T21" s="21"/>
      <c r="U21" s="21"/>
      <c r="V21" s="1">
        <f t="shared" si="4"/>
        <v>53</v>
      </c>
    </row>
    <row r="22" spans="1:22" ht="24" x14ac:dyDescent="0.35">
      <c r="A22" s="1" t="s">
        <v>39</v>
      </c>
      <c r="B22" s="10">
        <v>13</v>
      </c>
      <c r="C22" s="11" t="s">
        <v>520</v>
      </c>
      <c r="D22" s="12"/>
      <c r="E22" s="14" t="s">
        <v>1084</v>
      </c>
      <c r="F22" s="11" t="s">
        <v>521</v>
      </c>
      <c r="G22" s="11" t="s">
        <v>86</v>
      </c>
      <c r="H22" s="11" t="s">
        <v>1249</v>
      </c>
      <c r="I22" s="12"/>
      <c r="L22" s="21">
        <v>49</v>
      </c>
      <c r="M22" s="21">
        <v>49</v>
      </c>
      <c r="O22" s="40" t="s">
        <v>1119</v>
      </c>
      <c r="P22" s="21">
        <v>5</v>
      </c>
      <c r="Q22" s="21"/>
      <c r="R22" s="21"/>
      <c r="S22" s="40" t="s">
        <v>1119</v>
      </c>
      <c r="T22" s="21">
        <v>49</v>
      </c>
      <c r="U22" s="21">
        <v>49</v>
      </c>
      <c r="V22" s="1">
        <f t="shared" si="4"/>
        <v>53</v>
      </c>
    </row>
    <row r="23" spans="1:22" ht="24" x14ac:dyDescent="0.35">
      <c r="A23" s="1" t="s">
        <v>39</v>
      </c>
      <c r="B23" s="10">
        <v>14</v>
      </c>
      <c r="C23" s="11" t="s">
        <v>522</v>
      </c>
      <c r="D23" s="12"/>
      <c r="E23" s="14" t="s">
        <v>1084</v>
      </c>
      <c r="F23" s="11" t="s">
        <v>521</v>
      </c>
      <c r="G23" s="11" t="s">
        <v>86</v>
      </c>
      <c r="H23" s="11" t="s">
        <v>941</v>
      </c>
      <c r="I23" s="12"/>
      <c r="L23" s="21"/>
      <c r="M23" s="21"/>
      <c r="P23" s="21"/>
      <c r="Q23" s="21"/>
      <c r="R23" s="21"/>
      <c r="T23" s="21"/>
      <c r="U23" s="21"/>
      <c r="V23" s="1">
        <f t="shared" si="4"/>
        <v>53</v>
      </c>
    </row>
    <row r="24" spans="1:22" s="13" customFormat="1" ht="24" x14ac:dyDescent="0.35">
      <c r="A24" s="15" t="s">
        <v>39</v>
      </c>
      <c r="B24" s="15">
        <v>15</v>
      </c>
      <c r="C24" s="16" t="s">
        <v>523</v>
      </c>
      <c r="D24" s="17"/>
      <c r="E24" s="18" t="s">
        <v>1085</v>
      </c>
      <c r="F24" s="16" t="s">
        <v>521</v>
      </c>
      <c r="G24" s="16" t="s">
        <v>86</v>
      </c>
      <c r="H24" s="19" t="s">
        <v>1141</v>
      </c>
      <c r="I24" s="17"/>
      <c r="K24" s="15"/>
      <c r="L24" s="22">
        <v>196</v>
      </c>
      <c r="M24" s="22">
        <v>196</v>
      </c>
      <c r="O24" s="23" t="s">
        <v>1121</v>
      </c>
      <c r="P24" s="22">
        <v>1</v>
      </c>
      <c r="Q24" s="22">
        <v>30</v>
      </c>
      <c r="R24" s="22">
        <v>3000</v>
      </c>
      <c r="S24" s="23" t="s">
        <v>1121</v>
      </c>
      <c r="T24" s="22">
        <v>196</v>
      </c>
      <c r="U24" s="22">
        <v>196</v>
      </c>
      <c r="V24" s="1">
        <f t="shared" si="4"/>
        <v>53</v>
      </c>
    </row>
    <row r="25" spans="1:22" ht="24" x14ac:dyDescent="0.35">
      <c r="A25" s="1" t="s">
        <v>39</v>
      </c>
      <c r="B25" s="10">
        <v>16</v>
      </c>
      <c r="C25" s="11" t="s">
        <v>524</v>
      </c>
      <c r="D25" s="12"/>
      <c r="E25" s="14" t="s">
        <v>1086</v>
      </c>
      <c r="F25" s="11" t="s">
        <v>521</v>
      </c>
      <c r="G25" s="11" t="s">
        <v>86</v>
      </c>
      <c r="H25" s="11" t="s">
        <v>1251</v>
      </c>
      <c r="I25" s="12"/>
      <c r="L25" s="21">
        <v>49</v>
      </c>
      <c r="M25" s="21">
        <v>49</v>
      </c>
      <c r="O25" s="40" t="s">
        <v>1119</v>
      </c>
      <c r="P25" s="21">
        <v>5</v>
      </c>
      <c r="Q25" s="21"/>
      <c r="R25" s="21"/>
      <c r="S25" s="40" t="s">
        <v>1119</v>
      </c>
      <c r="T25" s="21">
        <v>49</v>
      </c>
      <c r="U25" s="21">
        <v>49</v>
      </c>
      <c r="V25" s="1">
        <f t="shared" si="4"/>
        <v>54</v>
      </c>
    </row>
    <row r="26" spans="1:22" ht="24" x14ac:dyDescent="0.35">
      <c r="A26" s="1" t="s">
        <v>39</v>
      </c>
      <c r="B26" s="10">
        <v>17</v>
      </c>
      <c r="C26" s="11" t="s">
        <v>525</v>
      </c>
      <c r="D26" s="12"/>
      <c r="E26" s="14" t="s">
        <v>1086</v>
      </c>
      <c r="F26" s="11" t="s">
        <v>526</v>
      </c>
      <c r="G26" s="11" t="s">
        <v>86</v>
      </c>
      <c r="H26" s="11" t="s">
        <v>941</v>
      </c>
      <c r="I26" s="12"/>
      <c r="L26" s="21"/>
      <c r="M26" s="21"/>
      <c r="P26" s="21"/>
      <c r="Q26" s="21"/>
      <c r="R26" s="21"/>
      <c r="T26" s="21"/>
      <c r="U26" s="21"/>
      <c r="V26" s="1">
        <f t="shared" si="4"/>
        <v>54</v>
      </c>
    </row>
    <row r="27" spans="1:22" ht="24" x14ac:dyDescent="0.35">
      <c r="A27" s="1" t="s">
        <v>39</v>
      </c>
      <c r="B27" s="10">
        <v>18</v>
      </c>
      <c r="C27" s="11" t="s">
        <v>527</v>
      </c>
      <c r="D27" s="12"/>
      <c r="E27" s="14" t="s">
        <v>1087</v>
      </c>
      <c r="F27" s="11" t="s">
        <v>526</v>
      </c>
      <c r="G27" s="11" t="s">
        <v>86</v>
      </c>
      <c r="H27" s="11" t="s">
        <v>1251</v>
      </c>
      <c r="I27" s="12"/>
      <c r="L27" s="21">
        <v>49</v>
      </c>
      <c r="M27" s="21">
        <v>49</v>
      </c>
      <c r="O27" s="40" t="s">
        <v>1119</v>
      </c>
      <c r="P27" s="21">
        <v>5</v>
      </c>
      <c r="Q27" s="21"/>
      <c r="R27" s="21"/>
      <c r="S27" s="40" t="s">
        <v>1119</v>
      </c>
      <c r="T27" s="21">
        <v>49</v>
      </c>
      <c r="U27" s="21">
        <v>49</v>
      </c>
      <c r="V27" s="1">
        <f t="shared" si="4"/>
        <v>54</v>
      </c>
    </row>
    <row r="28" spans="1:22" ht="24" x14ac:dyDescent="0.35">
      <c r="A28" s="1" t="s">
        <v>39</v>
      </c>
      <c r="B28" s="10">
        <v>19</v>
      </c>
      <c r="C28" s="11" t="s">
        <v>528</v>
      </c>
      <c r="D28" s="12"/>
      <c r="E28" s="14" t="s">
        <v>1087</v>
      </c>
      <c r="F28" s="11" t="s">
        <v>526</v>
      </c>
      <c r="G28" s="11" t="s">
        <v>86</v>
      </c>
      <c r="H28" s="11" t="s">
        <v>941</v>
      </c>
      <c r="I28" s="12"/>
      <c r="L28" s="21"/>
      <c r="M28" s="21"/>
      <c r="P28" s="21"/>
      <c r="Q28" s="21"/>
      <c r="R28" s="21"/>
      <c r="T28" s="21"/>
      <c r="U28" s="21"/>
      <c r="V28" s="1">
        <f t="shared" si="4"/>
        <v>54</v>
      </c>
    </row>
    <row r="29" spans="1:22" s="13" customFormat="1" ht="24" x14ac:dyDescent="0.35">
      <c r="A29" s="15" t="s">
        <v>39</v>
      </c>
      <c r="B29" s="15">
        <v>20</v>
      </c>
      <c r="C29" s="16" t="s">
        <v>529</v>
      </c>
      <c r="D29" s="17"/>
      <c r="E29" s="18" t="s">
        <v>1088</v>
      </c>
      <c r="F29" s="16" t="s">
        <v>530</v>
      </c>
      <c r="G29" s="16" t="s">
        <v>86</v>
      </c>
      <c r="H29" s="20" t="s">
        <v>1123</v>
      </c>
      <c r="I29" s="17"/>
      <c r="K29" s="15"/>
      <c r="L29" s="22">
        <v>196</v>
      </c>
      <c r="M29" s="22">
        <v>196</v>
      </c>
      <c r="O29" s="23" t="s">
        <v>1121</v>
      </c>
      <c r="P29" s="22">
        <v>1</v>
      </c>
      <c r="Q29" s="22">
        <v>15</v>
      </c>
      <c r="R29" s="22">
        <v>3000</v>
      </c>
      <c r="S29" s="23" t="s">
        <v>1121</v>
      </c>
      <c r="T29" s="22">
        <v>196</v>
      </c>
      <c r="U29" s="22">
        <v>196</v>
      </c>
      <c r="V29" s="1">
        <f t="shared" si="4"/>
        <v>54</v>
      </c>
    </row>
    <row r="30" spans="1:22" x14ac:dyDescent="0.15">
      <c r="A30" s="1"/>
      <c r="B30" s="10"/>
      <c r="C30" s="11"/>
      <c r="D30" s="12"/>
      <c r="E30" s="11"/>
      <c r="F30" s="11"/>
      <c r="G30" s="11"/>
      <c r="H30" s="11"/>
      <c r="I30" s="11"/>
      <c r="V30" s="1">
        <f t="shared" si="4"/>
        <v>55</v>
      </c>
    </row>
    <row r="31" spans="1:22" x14ac:dyDescent="0.15">
      <c r="A31" s="1"/>
      <c r="B31" s="10"/>
      <c r="C31" s="11"/>
      <c r="D31" s="12"/>
      <c r="E31" s="11"/>
      <c r="F31" s="11"/>
      <c r="G31" s="11"/>
      <c r="H31" s="11"/>
      <c r="I31" s="12"/>
      <c r="V31" s="1">
        <f t="shared" si="4"/>
        <v>55</v>
      </c>
    </row>
    <row r="32" spans="1:22" x14ac:dyDescent="0.15">
      <c r="A32" s="1"/>
      <c r="B32" s="10"/>
      <c r="C32" s="11"/>
      <c r="D32" s="12"/>
      <c r="E32" s="11"/>
      <c r="F32" s="11"/>
      <c r="G32" s="11"/>
      <c r="H32" s="11"/>
      <c r="I32" s="11"/>
      <c r="V32" s="1">
        <f t="shared" si="4"/>
        <v>55</v>
      </c>
    </row>
    <row r="33" spans="1:22" x14ac:dyDescent="0.15">
      <c r="A33" s="1"/>
      <c r="B33" s="10"/>
      <c r="C33" s="11"/>
      <c r="D33" s="12"/>
      <c r="E33" s="11"/>
      <c r="F33" s="11"/>
      <c r="G33" s="11"/>
      <c r="H33" s="11"/>
      <c r="I33" s="12"/>
      <c r="V33" s="1">
        <f t="shared" si="4"/>
        <v>55</v>
      </c>
    </row>
    <row r="34" spans="1:22" x14ac:dyDescent="0.15">
      <c r="A34" s="1"/>
      <c r="B34" s="10"/>
      <c r="C34" s="11"/>
      <c r="D34" s="12"/>
      <c r="E34" s="11"/>
      <c r="F34" s="11"/>
      <c r="G34" s="11"/>
      <c r="H34" s="11"/>
      <c r="I34" s="12"/>
      <c r="V34" s="1">
        <f t="shared" si="4"/>
        <v>55</v>
      </c>
    </row>
    <row r="35" spans="1:22" x14ac:dyDescent="0.15">
      <c r="A35" s="1"/>
      <c r="B35" s="10"/>
      <c r="C35" s="11"/>
      <c r="D35" s="12"/>
      <c r="E35" s="11"/>
      <c r="F35" s="11"/>
      <c r="G35" s="11"/>
      <c r="H35" s="11"/>
      <c r="I35" s="12"/>
      <c r="V35" s="1">
        <f t="shared" si="4"/>
        <v>56</v>
      </c>
    </row>
    <row r="36" spans="1:22" x14ac:dyDescent="0.15">
      <c r="A36" s="1"/>
      <c r="B36" s="10"/>
      <c r="C36" s="11"/>
      <c r="D36" s="12"/>
      <c r="E36" s="11"/>
      <c r="F36" s="11"/>
      <c r="G36" s="11"/>
      <c r="H36" s="11"/>
      <c r="I36" s="12"/>
      <c r="V36" s="1">
        <f t="shared" si="4"/>
        <v>56</v>
      </c>
    </row>
    <row r="37" spans="1:22" x14ac:dyDescent="0.15">
      <c r="A37" s="1"/>
      <c r="B37" s="10"/>
      <c r="C37" s="11"/>
      <c r="D37" s="12"/>
      <c r="E37" s="11"/>
      <c r="F37" s="11"/>
      <c r="G37" s="11"/>
      <c r="H37" s="11"/>
      <c r="I37" s="12"/>
      <c r="V37" s="1">
        <f t="shared" si="4"/>
        <v>56</v>
      </c>
    </row>
    <row r="38" spans="1:22" x14ac:dyDescent="0.15">
      <c r="A38" s="1"/>
      <c r="B38" s="10"/>
      <c r="C38" s="11"/>
      <c r="D38" s="12"/>
      <c r="E38" s="11"/>
      <c r="F38" s="11"/>
      <c r="G38" s="11"/>
      <c r="H38" s="11"/>
      <c r="I38" s="12"/>
      <c r="V38" s="1">
        <f t="shared" si="4"/>
        <v>56</v>
      </c>
    </row>
    <row r="39" spans="1:22" x14ac:dyDescent="0.15">
      <c r="A39" s="1"/>
      <c r="B39" s="10"/>
      <c r="C39" s="11"/>
      <c r="D39" s="12"/>
      <c r="E39" s="11"/>
      <c r="F39" s="11"/>
      <c r="G39" s="11"/>
      <c r="H39" s="11"/>
      <c r="I39" s="12"/>
      <c r="V39" s="1">
        <f t="shared" si="4"/>
        <v>56</v>
      </c>
    </row>
    <row r="40" spans="1:22" x14ac:dyDescent="0.15">
      <c r="A40" s="1"/>
      <c r="B40" s="10"/>
      <c r="C40" s="11"/>
      <c r="D40" s="12"/>
      <c r="E40" s="11"/>
      <c r="F40" s="11"/>
      <c r="G40" s="11"/>
      <c r="H40" s="11"/>
      <c r="I40" s="12"/>
      <c r="V40" s="1">
        <f t="shared" si="4"/>
        <v>57</v>
      </c>
    </row>
    <row r="41" spans="1:22" x14ac:dyDescent="0.15">
      <c r="A41" s="1"/>
      <c r="B41" s="10"/>
      <c r="C41" s="11"/>
      <c r="D41" s="12"/>
      <c r="E41" s="11"/>
      <c r="F41" s="11"/>
      <c r="G41" s="11"/>
      <c r="H41" s="11"/>
      <c r="I41" s="12"/>
      <c r="V41" s="1">
        <f t="shared" si="4"/>
        <v>57</v>
      </c>
    </row>
    <row r="42" spans="1:22" x14ac:dyDescent="0.15">
      <c r="A42" s="1"/>
      <c r="B42" s="10"/>
      <c r="C42" s="11"/>
      <c r="D42" s="12"/>
      <c r="E42" s="11"/>
      <c r="F42" s="11"/>
      <c r="G42" s="11"/>
      <c r="H42" s="11"/>
      <c r="I42" s="12"/>
      <c r="V42" s="1">
        <f t="shared" si="4"/>
        <v>57</v>
      </c>
    </row>
    <row r="43" spans="1:22" x14ac:dyDescent="0.15">
      <c r="A43" s="1"/>
      <c r="B43" s="10"/>
      <c r="C43" s="11"/>
      <c r="D43" s="12"/>
      <c r="E43" s="11"/>
      <c r="F43" s="11"/>
      <c r="G43" s="11"/>
      <c r="H43" s="11"/>
      <c r="I43" s="12"/>
      <c r="V43" s="1">
        <f t="shared" si="4"/>
        <v>57</v>
      </c>
    </row>
    <row r="44" spans="1:22" x14ac:dyDescent="0.15">
      <c r="A44" s="1"/>
      <c r="B44" s="10"/>
      <c r="C44" s="11"/>
      <c r="D44" s="12"/>
      <c r="E44" s="11"/>
      <c r="F44" s="11"/>
      <c r="G44" s="11"/>
      <c r="H44" s="11"/>
      <c r="I44" s="12"/>
      <c r="V44" s="1">
        <f t="shared" si="4"/>
        <v>57</v>
      </c>
    </row>
    <row r="45" spans="1:22" x14ac:dyDescent="0.15">
      <c r="A45" s="1"/>
      <c r="B45" s="10"/>
      <c r="C45" s="11"/>
      <c r="D45" s="12"/>
      <c r="E45" s="11"/>
      <c r="F45" s="11"/>
      <c r="G45" s="11"/>
      <c r="H45" s="11"/>
      <c r="I45" s="12"/>
      <c r="V45" s="1">
        <f t="shared" si="4"/>
        <v>58</v>
      </c>
    </row>
    <row r="46" spans="1:22" x14ac:dyDescent="0.15">
      <c r="A46" s="1"/>
      <c r="B46" s="10"/>
      <c r="C46" s="11"/>
      <c r="D46" s="12"/>
      <c r="E46" s="11"/>
      <c r="F46" s="11"/>
      <c r="G46" s="11"/>
      <c r="H46" s="11"/>
      <c r="I46" s="12"/>
      <c r="V46" s="1">
        <f t="shared" si="4"/>
        <v>58</v>
      </c>
    </row>
    <row r="47" spans="1:22" x14ac:dyDescent="0.15">
      <c r="A47" s="1"/>
      <c r="B47" s="10"/>
      <c r="C47" s="11"/>
      <c r="D47" s="12"/>
      <c r="E47" s="11"/>
      <c r="F47" s="11"/>
      <c r="G47" s="11"/>
      <c r="H47" s="11"/>
      <c r="I47" s="12"/>
      <c r="V47" s="1">
        <f t="shared" si="4"/>
        <v>58</v>
      </c>
    </row>
    <row r="48" spans="1:22" x14ac:dyDescent="0.15">
      <c r="A48" s="1"/>
      <c r="B48" s="10"/>
      <c r="C48" s="11"/>
      <c r="D48" s="12"/>
      <c r="E48" s="11"/>
      <c r="F48" s="11"/>
      <c r="G48" s="11"/>
      <c r="H48" s="11"/>
      <c r="I48" s="12"/>
      <c r="V48" s="1">
        <f t="shared" si="4"/>
        <v>58</v>
      </c>
    </row>
    <row r="49" spans="1:22" x14ac:dyDescent="0.15">
      <c r="A49" s="1"/>
      <c r="B49" s="10"/>
      <c r="C49" s="11"/>
      <c r="D49" s="12"/>
      <c r="E49" s="11"/>
      <c r="F49" s="11"/>
      <c r="G49" s="11"/>
      <c r="H49" s="11"/>
      <c r="I49" s="12"/>
      <c r="V49" s="1">
        <f t="shared" si="4"/>
        <v>58</v>
      </c>
    </row>
    <row r="50" spans="1:22" x14ac:dyDescent="0.15">
      <c r="A50" s="1"/>
      <c r="B50" s="10"/>
      <c r="C50" s="11"/>
      <c r="D50" s="12"/>
      <c r="E50" s="11"/>
      <c r="F50" s="11"/>
      <c r="G50" s="11"/>
      <c r="H50" s="11"/>
      <c r="I50" s="12"/>
      <c r="V50" s="1">
        <f t="shared" si="4"/>
        <v>59</v>
      </c>
    </row>
    <row r="51" spans="1:22" x14ac:dyDescent="0.15">
      <c r="A51" s="1"/>
      <c r="B51" s="10"/>
      <c r="C51" s="11"/>
      <c r="D51" s="12"/>
      <c r="E51" s="11"/>
      <c r="F51" s="11"/>
      <c r="G51" s="11"/>
      <c r="H51" s="11"/>
      <c r="I51" s="12"/>
      <c r="V51" s="1">
        <f t="shared" si="4"/>
        <v>59</v>
      </c>
    </row>
    <row r="52" spans="1:22" x14ac:dyDescent="0.15">
      <c r="A52" s="1"/>
      <c r="B52" s="10"/>
      <c r="C52" s="11"/>
      <c r="D52" s="12"/>
      <c r="E52" s="11"/>
      <c r="F52" s="11"/>
      <c r="G52" s="11"/>
      <c r="H52" s="11"/>
      <c r="I52" s="12"/>
      <c r="V52" s="1">
        <f t="shared" si="4"/>
        <v>59</v>
      </c>
    </row>
    <row r="53" spans="1:22" x14ac:dyDescent="0.15">
      <c r="A53" s="1"/>
      <c r="B53" s="10"/>
      <c r="C53" s="11"/>
      <c r="D53" s="12"/>
      <c r="E53" s="11"/>
      <c r="F53" s="11"/>
      <c r="G53" s="11"/>
      <c r="H53" s="11"/>
      <c r="I53" s="12"/>
      <c r="V53" s="1">
        <f t="shared" si="4"/>
        <v>59</v>
      </c>
    </row>
    <row r="54" spans="1:22" x14ac:dyDescent="0.15">
      <c r="A54" s="1"/>
      <c r="B54" s="10"/>
      <c r="C54" s="11"/>
      <c r="D54" s="12"/>
      <c r="E54" s="11"/>
      <c r="F54" s="11"/>
      <c r="G54" s="11"/>
      <c r="H54" s="11"/>
      <c r="I54" s="12"/>
      <c r="V54" s="1">
        <f t="shared" si="4"/>
        <v>59</v>
      </c>
    </row>
    <row r="55" spans="1:22" x14ac:dyDescent="0.15">
      <c r="A55" s="1"/>
      <c r="B55" s="10"/>
      <c r="C55" s="11"/>
      <c r="D55" s="12"/>
      <c r="E55" s="11"/>
      <c r="F55" s="11"/>
      <c r="G55" s="11"/>
      <c r="H55" s="11"/>
      <c r="I55" s="12"/>
      <c r="V55" s="1">
        <f t="shared" si="4"/>
        <v>60</v>
      </c>
    </row>
    <row r="56" spans="1:22" x14ac:dyDescent="0.15">
      <c r="A56" s="1"/>
      <c r="B56" s="10"/>
      <c r="C56" s="11"/>
      <c r="D56" s="12"/>
      <c r="E56" s="11"/>
      <c r="F56" s="11"/>
      <c r="G56" s="11"/>
      <c r="H56" s="11"/>
      <c r="I56" s="12"/>
      <c r="V56" s="1">
        <f t="shared" si="4"/>
        <v>60</v>
      </c>
    </row>
    <row r="57" spans="1:22" x14ac:dyDescent="0.15">
      <c r="A57" s="1"/>
      <c r="B57" s="10"/>
      <c r="C57" s="11"/>
      <c r="D57" s="12"/>
      <c r="E57" s="11"/>
      <c r="F57" s="11"/>
      <c r="G57" s="11"/>
      <c r="H57" s="11"/>
      <c r="I57" s="12"/>
      <c r="V57" s="1">
        <f t="shared" si="4"/>
        <v>60</v>
      </c>
    </row>
    <row r="58" spans="1:22" x14ac:dyDescent="0.15">
      <c r="A58" s="1"/>
      <c r="B58" s="10"/>
      <c r="C58" s="11"/>
      <c r="D58" s="12"/>
      <c r="E58" s="11"/>
      <c r="F58" s="11"/>
      <c r="G58" s="11"/>
      <c r="H58" s="11"/>
      <c r="I58" s="12"/>
      <c r="V58" s="1">
        <f t="shared" si="4"/>
        <v>60</v>
      </c>
    </row>
    <row r="59" spans="1:22" x14ac:dyDescent="0.15">
      <c r="A59" s="1"/>
      <c r="B59" s="10"/>
      <c r="C59" s="11"/>
      <c r="D59" s="12"/>
      <c r="E59" s="11"/>
      <c r="F59" s="11"/>
      <c r="G59" s="11"/>
      <c r="H59" s="11"/>
      <c r="I59" s="12"/>
      <c r="V59" s="1">
        <f t="shared" si="4"/>
        <v>60</v>
      </c>
    </row>
    <row r="60" spans="1:22" x14ac:dyDescent="0.15">
      <c r="A60" s="1"/>
      <c r="B60" s="10"/>
      <c r="C60" s="1"/>
      <c r="D60" s="1"/>
      <c r="E60" s="1"/>
      <c r="F60" s="1"/>
      <c r="G60" s="1"/>
      <c r="H60" s="1"/>
      <c r="I60" s="1"/>
    </row>
    <row r="61" spans="1:22" x14ac:dyDescent="0.15">
      <c r="A61" s="1"/>
      <c r="B61" s="10"/>
      <c r="C61" s="1"/>
      <c r="D61" s="1"/>
      <c r="E61" s="1"/>
      <c r="F61" s="1"/>
      <c r="G61" s="1"/>
      <c r="H61" s="1"/>
      <c r="I61" s="1"/>
    </row>
    <row r="62" spans="1:22" x14ac:dyDescent="0.15">
      <c r="A62" s="1"/>
      <c r="B62" s="10"/>
      <c r="C62" s="1"/>
      <c r="D62" s="1"/>
      <c r="E62" s="1"/>
      <c r="F62" s="1"/>
      <c r="G62" s="1"/>
      <c r="H62" s="1"/>
      <c r="I62" s="1"/>
    </row>
    <row r="63" spans="1:22" x14ac:dyDescent="0.15">
      <c r="A63" s="1"/>
      <c r="B63" s="10"/>
      <c r="C63" s="1"/>
      <c r="D63" s="1"/>
      <c r="E63" s="1"/>
      <c r="F63" s="1"/>
      <c r="G63" s="1"/>
      <c r="H63" s="1"/>
      <c r="I63" s="1"/>
    </row>
    <row r="64" spans="1:22" x14ac:dyDescent="0.15">
      <c r="A64" s="1"/>
      <c r="B64" s="10"/>
      <c r="C64" s="1"/>
      <c r="D64" s="1"/>
      <c r="E64" s="1"/>
      <c r="F64" s="1"/>
      <c r="G64" s="1"/>
      <c r="H64" s="1"/>
      <c r="I64" s="1"/>
    </row>
    <row r="65" spans="1:9" x14ac:dyDescent="0.15">
      <c r="A65" s="1"/>
      <c r="B65" s="10"/>
      <c r="C65" s="1"/>
      <c r="D65" s="1"/>
      <c r="E65" s="1"/>
      <c r="F65" s="1"/>
      <c r="G65" s="1"/>
      <c r="H65" s="1"/>
      <c r="I65" s="1"/>
    </row>
    <row r="66" spans="1:9" x14ac:dyDescent="0.15">
      <c r="A66" s="1"/>
      <c r="B66" s="10"/>
      <c r="C66" s="1"/>
      <c r="D66" s="1"/>
      <c r="E66" s="1"/>
      <c r="F66" s="1"/>
      <c r="G66" s="1"/>
      <c r="H66" s="1"/>
      <c r="I66" s="1"/>
    </row>
    <row r="67" spans="1:9" x14ac:dyDescent="0.15">
      <c r="A67" s="1"/>
      <c r="B67" s="10"/>
      <c r="C67" s="1"/>
      <c r="D67" s="1"/>
      <c r="E67" s="1"/>
      <c r="F67" s="1"/>
      <c r="G67" s="1"/>
      <c r="H67" s="1"/>
      <c r="I67" s="1"/>
    </row>
  </sheetData>
  <phoneticPr fontId="35" type="noConversion"/>
  <conditionalFormatting sqref="B1:B3 B5:B67">
    <cfRule type="duplicateValues" dxfId="8" priority="1"/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V67"/>
  <sheetViews>
    <sheetView topLeftCell="A19" workbookViewId="0">
      <selection activeCell="H18" sqref="H18"/>
    </sheetView>
  </sheetViews>
  <sheetFormatPr defaultColWidth="9" defaultRowHeight="13.5" x14ac:dyDescent="0.15"/>
  <cols>
    <col min="2" max="2" width="4.5" bestFit="1" customWidth="1"/>
    <col min="3" max="3" width="7.875" bestFit="1" customWidth="1"/>
    <col min="4" max="4" width="6.875" bestFit="1" customWidth="1"/>
    <col min="5" max="5" width="37.5" bestFit="1" customWidth="1"/>
    <col min="6" max="6" width="12.875" bestFit="1" customWidth="1"/>
    <col min="7" max="7" width="15.125" bestFit="1" customWidth="1"/>
    <col min="8" max="8" width="69.5" bestFit="1" customWidth="1"/>
    <col min="9" max="9" width="9.375" bestFit="1" customWidth="1"/>
    <col min="10" max="10" width="9.5" bestFit="1" customWidth="1"/>
    <col min="11" max="11" width="9.75" style="1" bestFit="1" customWidth="1"/>
    <col min="12" max="12" width="7.75" bestFit="1" customWidth="1"/>
    <col min="13" max="13" width="7" bestFit="1" customWidth="1"/>
    <col min="14" max="14" width="9.625" bestFit="1" customWidth="1"/>
    <col min="15" max="15" width="33.625" bestFit="1" customWidth="1"/>
    <col min="16" max="16" width="15.375" customWidth="1"/>
    <col min="17" max="17" width="11.25" bestFit="1" customWidth="1"/>
    <col min="18" max="18" width="9.75" bestFit="1" customWidth="1"/>
    <col min="19" max="19" width="33.625" bestFit="1" customWidth="1"/>
    <col min="20" max="20" width="10" bestFit="1" customWidth="1"/>
    <col min="21" max="21" width="10.875" bestFit="1" customWidth="1"/>
    <col min="22" max="22" width="7.125" bestFit="1" customWidth="1"/>
  </cols>
  <sheetData>
    <row r="1" spans="1:22" x14ac:dyDescent="0.15">
      <c r="A1" s="2" t="s">
        <v>38</v>
      </c>
      <c r="B1" s="3" t="s">
        <v>39</v>
      </c>
      <c r="C1" s="3" t="s">
        <v>39</v>
      </c>
      <c r="D1" s="3" t="s">
        <v>39</v>
      </c>
      <c r="E1" s="3" t="s">
        <v>39</v>
      </c>
      <c r="F1" s="3" t="s">
        <v>39</v>
      </c>
      <c r="G1" s="3" t="s">
        <v>39</v>
      </c>
      <c r="H1" s="3" t="s">
        <v>39</v>
      </c>
      <c r="I1" s="3" t="s">
        <v>39</v>
      </c>
      <c r="J1" s="3" t="s">
        <v>39</v>
      </c>
      <c r="K1" s="3" t="s">
        <v>39</v>
      </c>
      <c r="L1" s="3" t="s">
        <v>39</v>
      </c>
      <c r="M1" s="3" t="s">
        <v>39</v>
      </c>
      <c r="N1" s="3" t="s">
        <v>39</v>
      </c>
      <c r="O1" s="3" t="s">
        <v>39</v>
      </c>
      <c r="P1" s="3" t="s">
        <v>39</v>
      </c>
      <c r="Q1" s="3" t="s">
        <v>39</v>
      </c>
      <c r="R1" s="3" t="s">
        <v>39</v>
      </c>
      <c r="S1" s="3" t="s">
        <v>39</v>
      </c>
      <c r="T1" s="3" t="s">
        <v>39</v>
      </c>
      <c r="U1" s="3" t="s">
        <v>39</v>
      </c>
      <c r="V1" s="3" t="s">
        <v>39</v>
      </c>
    </row>
    <row r="2" spans="1:22" x14ac:dyDescent="0.15">
      <c r="A2" s="2" t="s">
        <v>40</v>
      </c>
      <c r="B2" s="3" t="s">
        <v>39</v>
      </c>
      <c r="C2" s="3" t="s">
        <v>39</v>
      </c>
      <c r="D2" s="3" t="s">
        <v>39</v>
      </c>
      <c r="E2" s="3" t="s">
        <v>39</v>
      </c>
      <c r="F2" s="3" t="s">
        <v>39</v>
      </c>
      <c r="G2" s="3" t="s">
        <v>39</v>
      </c>
      <c r="H2" s="3" t="s">
        <v>39</v>
      </c>
      <c r="I2" s="3" t="s">
        <v>39</v>
      </c>
      <c r="J2" s="3" t="s">
        <v>39</v>
      </c>
      <c r="K2" s="3" t="s">
        <v>39</v>
      </c>
      <c r="L2" s="3" t="s">
        <v>39</v>
      </c>
      <c r="M2" s="3" t="s">
        <v>39</v>
      </c>
      <c r="N2" s="3" t="s">
        <v>39</v>
      </c>
      <c r="O2" s="3" t="s">
        <v>39</v>
      </c>
      <c r="P2" s="3" t="s">
        <v>39</v>
      </c>
      <c r="Q2" s="3" t="s">
        <v>39</v>
      </c>
      <c r="R2" s="3" t="s">
        <v>39</v>
      </c>
      <c r="S2" s="3" t="s">
        <v>39</v>
      </c>
      <c r="T2" s="3" t="s">
        <v>39</v>
      </c>
      <c r="U2" s="3" t="s">
        <v>39</v>
      </c>
      <c r="V2" s="3" t="s">
        <v>39</v>
      </c>
    </row>
    <row r="3" spans="1:22" ht="14.25" x14ac:dyDescent="0.15">
      <c r="A3" s="4" t="s">
        <v>39</v>
      </c>
      <c r="B3" s="4" t="s">
        <v>41</v>
      </c>
      <c r="C3" s="5" t="s">
        <v>42</v>
      </c>
      <c r="D3" s="5" t="s">
        <v>42</v>
      </c>
      <c r="E3" s="5" t="s">
        <v>42</v>
      </c>
      <c r="F3" s="5" t="s">
        <v>42</v>
      </c>
      <c r="G3" s="5" t="s">
        <v>42</v>
      </c>
      <c r="H3" s="5" t="s">
        <v>42</v>
      </c>
      <c r="I3" s="5" t="s">
        <v>42</v>
      </c>
      <c r="J3" s="5" t="s">
        <v>41</v>
      </c>
      <c r="K3" s="5" t="s">
        <v>41</v>
      </c>
      <c r="L3" s="5" t="s">
        <v>41</v>
      </c>
      <c r="M3" s="5" t="s">
        <v>41</v>
      </c>
      <c r="N3" s="5" t="s">
        <v>41</v>
      </c>
      <c r="O3" s="5" t="s">
        <v>42</v>
      </c>
      <c r="P3" s="5" t="s">
        <v>41</v>
      </c>
      <c r="Q3" s="5" t="s">
        <v>41</v>
      </c>
      <c r="R3" s="5" t="s">
        <v>41</v>
      </c>
      <c r="S3" s="5" t="s">
        <v>42</v>
      </c>
      <c r="T3" s="5" t="s">
        <v>41</v>
      </c>
      <c r="U3" s="5" t="s">
        <v>981</v>
      </c>
      <c r="V3" s="5" t="s">
        <v>989</v>
      </c>
    </row>
    <row r="4" spans="1:22" ht="14.25" x14ac:dyDescent="0.15">
      <c r="A4" s="4"/>
      <c r="B4" s="4" t="s">
        <v>43</v>
      </c>
      <c r="C4" s="4" t="s">
        <v>188</v>
      </c>
      <c r="D4" s="4" t="s">
        <v>44</v>
      </c>
      <c r="E4" s="4" t="s">
        <v>189</v>
      </c>
      <c r="F4" s="4" t="s">
        <v>190</v>
      </c>
      <c r="G4" s="4" t="s">
        <v>191</v>
      </c>
      <c r="H4" s="4" t="s">
        <v>192</v>
      </c>
      <c r="I4" s="4" t="s">
        <v>193</v>
      </c>
      <c r="J4" s="5" t="s">
        <v>194</v>
      </c>
      <c r="K4" s="5" t="s">
        <v>195</v>
      </c>
      <c r="L4" s="5" t="s">
        <v>196</v>
      </c>
      <c r="M4" s="5" t="s">
        <v>197</v>
      </c>
      <c r="N4" s="5" t="s">
        <v>198</v>
      </c>
      <c r="O4" s="5" t="s">
        <v>199</v>
      </c>
      <c r="P4" s="5" t="s">
        <v>200</v>
      </c>
      <c r="Q4" s="5" t="s">
        <v>201</v>
      </c>
      <c r="R4" s="5" t="s">
        <v>202</v>
      </c>
      <c r="S4" s="5" t="s">
        <v>203</v>
      </c>
      <c r="T4" s="5" t="s">
        <v>204</v>
      </c>
      <c r="U4" s="5" t="s">
        <v>982</v>
      </c>
      <c r="V4" s="5" t="s">
        <v>990</v>
      </c>
    </row>
    <row r="5" spans="1:22" ht="14.25" x14ac:dyDescent="0.15">
      <c r="A5" s="4"/>
      <c r="B5" s="4" t="str">
        <f>IF(B3="","",IF(B3="INT","i",IF(B3="FLOAT","f",IF(B3="STRING","s"))))</f>
        <v>i</v>
      </c>
      <c r="C5" s="5" t="s">
        <v>68</v>
      </c>
      <c r="D5" s="5" t="s">
        <v>68</v>
      </c>
      <c r="E5" s="5" t="s">
        <v>68</v>
      </c>
      <c r="F5" s="5" t="s">
        <v>68</v>
      </c>
      <c r="G5" s="5" t="s">
        <v>68</v>
      </c>
      <c r="H5" s="5" t="s">
        <v>68</v>
      </c>
      <c r="I5" s="5" t="s">
        <v>68</v>
      </c>
      <c r="J5" s="5" t="s">
        <v>67</v>
      </c>
      <c r="K5" s="5" t="s">
        <v>67</v>
      </c>
      <c r="L5" s="5" t="s">
        <v>67</v>
      </c>
      <c r="M5" s="5" t="s">
        <v>67</v>
      </c>
      <c r="N5" s="5" t="s">
        <v>67</v>
      </c>
      <c r="O5" s="5" t="s">
        <v>68</v>
      </c>
      <c r="P5" s="5" t="s">
        <v>67</v>
      </c>
      <c r="Q5" s="5" t="s">
        <v>67</v>
      </c>
      <c r="R5" s="5" t="s">
        <v>67</v>
      </c>
      <c r="S5" s="5" t="s">
        <v>68</v>
      </c>
      <c r="T5" s="5" t="s">
        <v>67</v>
      </c>
      <c r="U5" s="5" t="s">
        <v>67</v>
      </c>
      <c r="V5" s="5" t="s">
        <v>67</v>
      </c>
    </row>
    <row r="6" spans="1:22" ht="14.25" x14ac:dyDescent="0.15">
      <c r="A6" s="4" t="s">
        <v>39</v>
      </c>
      <c r="B6" s="4" t="str">
        <f t="shared" ref="B6:E6" si="0">B5&amp;B4</f>
        <v>iID</v>
      </c>
      <c r="C6" s="5" t="str">
        <f t="shared" si="0"/>
        <v>sRoomID</v>
      </c>
      <c r="D6" s="5" t="str">
        <f t="shared" si="0"/>
        <v>sNotes</v>
      </c>
      <c r="E6" s="5" t="str">
        <f t="shared" si="0"/>
        <v>sAttributes</v>
      </c>
      <c r="F6" s="5" t="str">
        <f t="shared" ref="F6:Q6" si="1">F5&amp;F4</f>
        <v>sMapAttributes</v>
      </c>
      <c r="G6" s="5" t="str">
        <f t="shared" si="1"/>
        <v>sStandardDefence</v>
      </c>
      <c r="H6" s="5" t="str">
        <f t="shared" si="1"/>
        <v>sRoomIDs</v>
      </c>
      <c r="I6" s="5" t="str">
        <f t="shared" si="1"/>
        <v>sRoomIDs1</v>
      </c>
      <c r="J6" s="5" t="str">
        <f t="shared" si="1"/>
        <v>iCheatValue</v>
      </c>
      <c r="K6" s="5" t="str">
        <f t="shared" si="1"/>
        <v>iBattleValue</v>
      </c>
      <c r="L6" s="5" t="str">
        <f t="shared" si="1"/>
        <v>iGoldAdd</v>
      </c>
      <c r="M6" s="5" t="str">
        <f t="shared" si="1"/>
        <v>iExpAdd</v>
      </c>
      <c r="N6" s="5" t="str">
        <f t="shared" si="1"/>
        <v>iAwardHero</v>
      </c>
      <c r="O6" s="5" t="str">
        <f t="shared" si="1"/>
        <v>sOutPut</v>
      </c>
      <c r="P6" s="5" t="str">
        <f t="shared" si="1"/>
        <v>iDropCount</v>
      </c>
      <c r="Q6" s="5" t="str">
        <f t="shared" si="1"/>
        <v>iCatchTime</v>
      </c>
      <c r="R6" s="5" t="str">
        <f t="shared" ref="R6:S6" si="2">R5&amp;R4</f>
        <v>iCatchProb</v>
      </c>
      <c r="S6" s="5" t="str">
        <f t="shared" si="2"/>
        <v>sFirstOutPut</v>
      </c>
      <c r="T6" s="5" t="str">
        <f t="shared" ref="T6:V6" si="3">T5&amp;T4</f>
        <v>iFirstExpAdd</v>
      </c>
      <c r="U6" s="5" t="str">
        <f t="shared" si="3"/>
        <v>iFirstGoldAdd</v>
      </c>
      <c r="V6" s="5" t="str">
        <f t="shared" si="3"/>
        <v>iMonsLv</v>
      </c>
    </row>
    <row r="7" spans="1:22" ht="14.25" x14ac:dyDescent="0.15">
      <c r="A7" s="4"/>
      <c r="B7" s="4" t="s">
        <v>206</v>
      </c>
      <c r="C7" s="6"/>
      <c r="D7" s="6"/>
      <c r="E7" s="6"/>
      <c r="F7" s="6"/>
      <c r="G7" s="6"/>
      <c r="H7" s="6"/>
      <c r="I7" s="6"/>
      <c r="J7" s="6" t="s">
        <v>213</v>
      </c>
      <c r="K7" s="6" t="s">
        <v>214</v>
      </c>
      <c r="L7" s="6" t="s">
        <v>215</v>
      </c>
      <c r="M7" s="6" t="s">
        <v>216</v>
      </c>
      <c r="N7" s="6" t="s">
        <v>217</v>
      </c>
      <c r="O7" s="6" t="s">
        <v>218</v>
      </c>
      <c r="P7" s="6" t="s">
        <v>219</v>
      </c>
      <c r="Q7" s="6" t="s">
        <v>220</v>
      </c>
      <c r="R7" s="6" t="s">
        <v>221</v>
      </c>
      <c r="S7" s="6" t="s">
        <v>222</v>
      </c>
      <c r="T7" s="6" t="s">
        <v>223</v>
      </c>
      <c r="U7" s="6" t="s">
        <v>984</v>
      </c>
      <c r="V7" s="6" t="s">
        <v>991</v>
      </c>
    </row>
    <row r="8" spans="1:22" ht="14.25" x14ac:dyDescent="0.15">
      <c r="A8" s="4" t="s">
        <v>78</v>
      </c>
      <c r="B8" s="4">
        <v>0</v>
      </c>
      <c r="C8" s="6">
        <v>0</v>
      </c>
      <c r="D8" s="6"/>
      <c r="E8" s="6"/>
      <c r="F8" s="6"/>
      <c r="G8" s="6"/>
      <c r="H8" s="6"/>
      <c r="I8" s="6"/>
      <c r="J8" s="6">
        <v>10000</v>
      </c>
      <c r="K8" s="6">
        <v>10000</v>
      </c>
      <c r="L8" s="6">
        <v>0</v>
      </c>
      <c r="M8" s="6">
        <v>0</v>
      </c>
      <c r="N8" s="6"/>
      <c r="O8" s="6"/>
      <c r="P8" s="6">
        <v>0</v>
      </c>
      <c r="Q8" s="6">
        <v>0</v>
      </c>
      <c r="R8" s="6">
        <v>0</v>
      </c>
      <c r="S8" s="6"/>
      <c r="T8" s="6">
        <v>0</v>
      </c>
      <c r="U8" s="6">
        <v>0</v>
      </c>
      <c r="V8" s="6">
        <v>1</v>
      </c>
    </row>
    <row r="9" spans="1:22" ht="14.25" x14ac:dyDescent="0.15">
      <c r="A9" s="7"/>
      <c r="B9" s="7"/>
      <c r="C9" s="8"/>
      <c r="D9" s="8"/>
      <c r="E9" s="9"/>
      <c r="F9" s="8"/>
      <c r="G9" s="8">
        <v>0</v>
      </c>
      <c r="H9" s="8"/>
      <c r="I9" s="8"/>
      <c r="J9" s="8" t="s">
        <v>224</v>
      </c>
      <c r="K9" s="8" t="s">
        <v>224</v>
      </c>
      <c r="L9" s="8"/>
      <c r="M9" s="8"/>
      <c r="N9" s="8"/>
      <c r="O9" s="8" t="s">
        <v>225</v>
      </c>
      <c r="Q9" s="8" t="s">
        <v>284</v>
      </c>
      <c r="R9" s="8" t="s">
        <v>227</v>
      </c>
      <c r="S9" s="8" t="s">
        <v>225</v>
      </c>
      <c r="T9" s="8"/>
    </row>
    <row r="10" spans="1:22" ht="24" x14ac:dyDescent="0.35">
      <c r="A10" s="1" t="s">
        <v>39</v>
      </c>
      <c r="B10" s="10">
        <v>1</v>
      </c>
      <c r="C10" s="11">
        <v>107001</v>
      </c>
      <c r="D10" s="12"/>
      <c r="E10" s="14" t="s">
        <v>1158</v>
      </c>
      <c r="F10" s="11" t="s">
        <v>531</v>
      </c>
      <c r="G10" s="11" t="s">
        <v>86</v>
      </c>
      <c r="H10" s="11" t="s">
        <v>1227</v>
      </c>
      <c r="I10" s="12"/>
      <c r="L10" s="21">
        <v>35</v>
      </c>
      <c r="M10" s="21">
        <v>35</v>
      </c>
      <c r="O10" s="1" t="s">
        <v>1182</v>
      </c>
      <c r="P10" s="1">
        <v>5</v>
      </c>
      <c r="Q10" s="1"/>
      <c r="R10" s="1"/>
      <c r="S10" s="1" t="s">
        <v>1182</v>
      </c>
      <c r="T10" s="21">
        <v>35</v>
      </c>
      <c r="U10" s="21">
        <v>35</v>
      </c>
      <c r="V10" s="1">
        <v>41</v>
      </c>
    </row>
    <row r="11" spans="1:22" ht="24" x14ac:dyDescent="0.35">
      <c r="A11" s="1" t="s">
        <v>39</v>
      </c>
      <c r="B11" s="10">
        <v>2</v>
      </c>
      <c r="C11" s="11">
        <v>107002</v>
      </c>
      <c r="D11" s="12"/>
      <c r="E11" s="14" t="s">
        <v>1158</v>
      </c>
      <c r="F11" s="11" t="s">
        <v>531</v>
      </c>
      <c r="G11" s="11" t="s">
        <v>86</v>
      </c>
      <c r="H11" s="11" t="s">
        <v>1228</v>
      </c>
      <c r="I11" s="12"/>
      <c r="L11" s="21">
        <v>35</v>
      </c>
      <c r="M11" s="21">
        <v>35</v>
      </c>
      <c r="O11" s="1" t="s">
        <v>1182</v>
      </c>
      <c r="P11" s="1">
        <v>5</v>
      </c>
      <c r="Q11" s="1"/>
      <c r="R11" s="1"/>
      <c r="S11" s="1" t="s">
        <v>1182</v>
      </c>
      <c r="T11" s="21">
        <v>35</v>
      </c>
      <c r="U11" s="21">
        <v>35</v>
      </c>
      <c r="V11" s="1">
        <v>41</v>
      </c>
    </row>
    <row r="12" spans="1:22" ht="24" x14ac:dyDescent="0.35">
      <c r="A12" s="1" t="s">
        <v>39</v>
      </c>
      <c r="B12" s="10">
        <v>3</v>
      </c>
      <c r="C12" s="11">
        <v>107003</v>
      </c>
      <c r="D12" s="12"/>
      <c r="E12" s="14" t="s">
        <v>1158</v>
      </c>
      <c r="F12" s="11" t="s">
        <v>531</v>
      </c>
      <c r="G12" s="11" t="s">
        <v>86</v>
      </c>
      <c r="H12" s="11" t="s">
        <v>1243</v>
      </c>
      <c r="I12" s="12"/>
      <c r="L12" s="21">
        <v>35</v>
      </c>
      <c r="M12" s="21">
        <v>35</v>
      </c>
      <c r="O12" s="1" t="s">
        <v>1182</v>
      </c>
      <c r="P12" s="1">
        <v>5</v>
      </c>
      <c r="Q12" s="1"/>
      <c r="R12" s="1"/>
      <c r="S12" s="1" t="s">
        <v>1182</v>
      </c>
      <c r="T12" s="21">
        <v>35</v>
      </c>
      <c r="U12" s="21">
        <v>35</v>
      </c>
      <c r="V12" s="1">
        <v>41</v>
      </c>
    </row>
    <row r="13" spans="1:22" ht="24" x14ac:dyDescent="0.35">
      <c r="A13" s="1" t="s">
        <v>39</v>
      </c>
      <c r="B13" s="10">
        <v>4</v>
      </c>
      <c r="C13" s="11">
        <v>107004</v>
      </c>
      <c r="D13" s="12"/>
      <c r="E13" s="14" t="s">
        <v>1158</v>
      </c>
      <c r="F13" s="11" t="s">
        <v>531</v>
      </c>
      <c r="G13" s="11" t="s">
        <v>86</v>
      </c>
      <c r="H13" s="11" t="s">
        <v>1242</v>
      </c>
      <c r="I13" s="11"/>
      <c r="L13" s="21">
        <v>35</v>
      </c>
      <c r="M13" s="21">
        <v>35</v>
      </c>
      <c r="O13" s="1" t="s">
        <v>1182</v>
      </c>
      <c r="P13" s="1">
        <v>5</v>
      </c>
      <c r="Q13" s="1"/>
      <c r="R13" s="1"/>
      <c r="S13" s="1" t="s">
        <v>1182</v>
      </c>
      <c r="T13" s="21">
        <v>35</v>
      </c>
      <c r="U13" s="21">
        <v>35</v>
      </c>
      <c r="V13" s="1">
        <v>41</v>
      </c>
    </row>
    <row r="14" spans="1:22" ht="24" x14ac:dyDescent="0.35">
      <c r="A14" s="1" t="s">
        <v>39</v>
      </c>
      <c r="B14" s="10">
        <v>5</v>
      </c>
      <c r="C14" s="11">
        <v>107005</v>
      </c>
      <c r="D14" s="12"/>
      <c r="E14" s="14" t="s">
        <v>1158</v>
      </c>
      <c r="F14" s="11" t="s">
        <v>531</v>
      </c>
      <c r="G14" s="11" t="s">
        <v>86</v>
      </c>
      <c r="H14" s="11" t="s">
        <v>1241</v>
      </c>
      <c r="I14" s="12"/>
      <c r="L14" s="21"/>
      <c r="M14" s="21"/>
      <c r="O14" s="1"/>
      <c r="P14" s="1"/>
      <c r="Q14" s="1"/>
      <c r="R14" s="1"/>
      <c r="S14" s="1"/>
      <c r="T14" s="21"/>
      <c r="U14" s="21"/>
      <c r="V14" s="1">
        <v>41</v>
      </c>
    </row>
    <row r="15" spans="1:22" ht="24" x14ac:dyDescent="0.35">
      <c r="A15" s="1" t="s">
        <v>39</v>
      </c>
      <c r="B15" s="10">
        <v>6</v>
      </c>
      <c r="C15" s="11">
        <v>107006</v>
      </c>
      <c r="D15" s="12"/>
      <c r="E15" s="14" t="s">
        <v>1159</v>
      </c>
      <c r="F15" s="11" t="s">
        <v>531</v>
      </c>
      <c r="G15" s="11" t="s">
        <v>86</v>
      </c>
      <c r="H15" s="11" t="s">
        <v>1151</v>
      </c>
      <c r="I15" s="12"/>
      <c r="L15" s="21">
        <v>35</v>
      </c>
      <c r="M15" s="21">
        <v>35</v>
      </c>
      <c r="O15" s="1" t="s">
        <v>1182</v>
      </c>
      <c r="P15" s="1">
        <v>5</v>
      </c>
      <c r="Q15" s="1"/>
      <c r="R15" s="1"/>
      <c r="S15" s="1" t="s">
        <v>1182</v>
      </c>
      <c r="T15" s="21">
        <v>35</v>
      </c>
      <c r="U15" s="21">
        <v>35</v>
      </c>
      <c r="V15" s="1">
        <f>V10+1</f>
        <v>42</v>
      </c>
    </row>
    <row r="16" spans="1:22" ht="24" x14ac:dyDescent="0.35">
      <c r="A16" s="1" t="s">
        <v>39</v>
      </c>
      <c r="B16" s="10">
        <v>7</v>
      </c>
      <c r="C16" s="11">
        <v>107007</v>
      </c>
      <c r="D16" s="12"/>
      <c r="E16" s="14" t="s">
        <v>1159</v>
      </c>
      <c r="F16" s="11" t="s">
        <v>531</v>
      </c>
      <c r="G16" s="11" t="s">
        <v>86</v>
      </c>
      <c r="H16" s="11" t="s">
        <v>1151</v>
      </c>
      <c r="I16" s="11"/>
      <c r="L16" s="21">
        <v>35</v>
      </c>
      <c r="M16" s="21">
        <v>35</v>
      </c>
      <c r="O16" s="1" t="s">
        <v>1182</v>
      </c>
      <c r="P16" s="1">
        <v>5</v>
      </c>
      <c r="Q16" s="1"/>
      <c r="R16" s="1"/>
      <c r="S16" s="1" t="s">
        <v>1182</v>
      </c>
      <c r="T16" s="21">
        <v>35</v>
      </c>
      <c r="U16" s="21">
        <v>35</v>
      </c>
      <c r="V16" s="1">
        <f t="shared" ref="V16:V59" si="4">V11+1</f>
        <v>42</v>
      </c>
    </row>
    <row r="17" spans="1:22" ht="24" x14ac:dyDescent="0.35">
      <c r="A17" s="1" t="s">
        <v>39</v>
      </c>
      <c r="B17" s="10">
        <v>8</v>
      </c>
      <c r="C17" s="11">
        <v>107008</v>
      </c>
      <c r="D17" s="12"/>
      <c r="E17" s="14" t="s">
        <v>1159</v>
      </c>
      <c r="F17" s="11" t="s">
        <v>531</v>
      </c>
      <c r="G17" s="11" t="s">
        <v>86</v>
      </c>
      <c r="H17" s="11" t="s">
        <v>1151</v>
      </c>
      <c r="I17" s="12"/>
      <c r="L17" s="21">
        <v>35</v>
      </c>
      <c r="M17" s="21">
        <v>35</v>
      </c>
      <c r="O17" s="1" t="s">
        <v>1182</v>
      </c>
      <c r="P17" s="1">
        <v>5</v>
      </c>
      <c r="Q17" s="1"/>
      <c r="R17" s="1"/>
      <c r="S17" s="1" t="s">
        <v>1182</v>
      </c>
      <c r="T17" s="21">
        <v>35</v>
      </c>
      <c r="U17" s="21">
        <v>35</v>
      </c>
      <c r="V17" s="1">
        <f t="shared" si="4"/>
        <v>42</v>
      </c>
    </row>
    <row r="18" spans="1:22" ht="24" x14ac:dyDescent="0.35">
      <c r="A18" s="1" t="s">
        <v>39</v>
      </c>
      <c r="B18" s="10">
        <v>9</v>
      </c>
      <c r="C18" s="11">
        <v>107009</v>
      </c>
      <c r="D18" s="12"/>
      <c r="E18" s="14" t="s">
        <v>1159</v>
      </c>
      <c r="F18" s="11" t="s">
        <v>531</v>
      </c>
      <c r="G18" s="11" t="s">
        <v>86</v>
      </c>
      <c r="H18" s="11" t="s">
        <v>1233</v>
      </c>
      <c r="I18" s="12"/>
      <c r="L18" s="21">
        <v>35</v>
      </c>
      <c r="M18" s="21">
        <v>35</v>
      </c>
      <c r="O18" s="1" t="s">
        <v>1182</v>
      </c>
      <c r="P18" s="1">
        <v>5</v>
      </c>
      <c r="Q18" s="1"/>
      <c r="R18" s="1"/>
      <c r="S18" s="1" t="s">
        <v>1182</v>
      </c>
      <c r="T18" s="21">
        <v>35</v>
      </c>
      <c r="U18" s="21">
        <v>35</v>
      </c>
      <c r="V18" s="1">
        <f t="shared" si="4"/>
        <v>42</v>
      </c>
    </row>
    <row r="19" spans="1:22" ht="24" x14ac:dyDescent="0.35">
      <c r="A19" s="1" t="s">
        <v>39</v>
      </c>
      <c r="B19" s="10">
        <v>10</v>
      </c>
      <c r="C19" s="11">
        <v>107010</v>
      </c>
      <c r="D19" s="12"/>
      <c r="E19" s="14" t="s">
        <v>1159</v>
      </c>
      <c r="F19" s="11" t="s">
        <v>531</v>
      </c>
      <c r="G19" s="11" t="s">
        <v>86</v>
      </c>
      <c r="H19" s="19" t="s">
        <v>1240</v>
      </c>
      <c r="I19" s="12"/>
      <c r="L19" s="21">
        <v>140</v>
      </c>
      <c r="M19" s="21">
        <v>140</v>
      </c>
      <c r="O19" s="24" t="s">
        <v>1183</v>
      </c>
      <c r="P19" s="24">
        <v>1</v>
      </c>
      <c r="Q19" s="24">
        <v>35</v>
      </c>
      <c r="R19" s="24">
        <v>3000</v>
      </c>
      <c r="S19" s="24" t="s">
        <v>1183</v>
      </c>
      <c r="T19" s="21">
        <v>140</v>
      </c>
      <c r="U19" s="21">
        <v>140</v>
      </c>
      <c r="V19" s="1">
        <f t="shared" si="4"/>
        <v>42</v>
      </c>
    </row>
    <row r="20" spans="1:22" ht="24" x14ac:dyDescent="0.35">
      <c r="A20" s="1" t="s">
        <v>39</v>
      </c>
      <c r="B20" s="10">
        <v>11</v>
      </c>
      <c r="C20" s="11">
        <v>107011</v>
      </c>
      <c r="D20" s="12"/>
      <c r="E20" s="14" t="s">
        <v>1160</v>
      </c>
      <c r="F20" s="11" t="s">
        <v>531</v>
      </c>
      <c r="G20" s="11" t="s">
        <v>86</v>
      </c>
      <c r="H20" s="11" t="s">
        <v>1229</v>
      </c>
      <c r="I20" s="11"/>
      <c r="L20" s="21">
        <v>35</v>
      </c>
      <c r="M20" s="21">
        <v>35</v>
      </c>
      <c r="O20" s="1" t="s">
        <v>1182</v>
      </c>
      <c r="P20" s="1">
        <v>5</v>
      </c>
      <c r="Q20" s="1"/>
      <c r="R20" s="1"/>
      <c r="S20" s="1" t="s">
        <v>1182</v>
      </c>
      <c r="T20" s="21">
        <v>35</v>
      </c>
      <c r="U20" s="21">
        <v>35</v>
      </c>
      <c r="V20" s="1">
        <f t="shared" si="4"/>
        <v>43</v>
      </c>
    </row>
    <row r="21" spans="1:22" ht="24" x14ac:dyDescent="0.35">
      <c r="A21" s="1" t="s">
        <v>39</v>
      </c>
      <c r="B21" s="10">
        <v>12</v>
      </c>
      <c r="C21" s="11">
        <v>107012</v>
      </c>
      <c r="D21" s="12"/>
      <c r="E21" s="14" t="s">
        <v>1160</v>
      </c>
      <c r="F21" s="11" t="s">
        <v>531</v>
      </c>
      <c r="G21" s="11" t="s">
        <v>86</v>
      </c>
      <c r="H21" s="11" t="s">
        <v>1230</v>
      </c>
      <c r="I21" s="12"/>
      <c r="L21" s="21">
        <v>35</v>
      </c>
      <c r="M21" s="21">
        <v>35</v>
      </c>
      <c r="O21" s="1" t="s">
        <v>1182</v>
      </c>
      <c r="P21" s="1">
        <v>5</v>
      </c>
      <c r="Q21" s="1"/>
      <c r="R21" s="1"/>
      <c r="S21" s="1" t="s">
        <v>1182</v>
      </c>
      <c r="T21" s="21">
        <v>35</v>
      </c>
      <c r="U21" s="21">
        <v>35</v>
      </c>
      <c r="V21" s="1">
        <f t="shared" si="4"/>
        <v>43</v>
      </c>
    </row>
    <row r="22" spans="1:22" ht="24" x14ac:dyDescent="0.35">
      <c r="A22" s="1" t="s">
        <v>39</v>
      </c>
      <c r="B22" s="10">
        <v>13</v>
      </c>
      <c r="C22" s="11">
        <v>107013</v>
      </c>
      <c r="D22" s="12"/>
      <c r="E22" s="14" t="s">
        <v>1160</v>
      </c>
      <c r="F22" s="11" t="s">
        <v>531</v>
      </c>
      <c r="G22" s="11" t="s">
        <v>86</v>
      </c>
      <c r="H22" s="11" t="s">
        <v>1231</v>
      </c>
      <c r="I22" s="12"/>
      <c r="L22" s="21">
        <v>35</v>
      </c>
      <c r="M22" s="21">
        <v>35</v>
      </c>
      <c r="O22" s="1" t="s">
        <v>1182</v>
      </c>
      <c r="P22" s="1">
        <v>5</v>
      </c>
      <c r="Q22" s="1"/>
      <c r="R22" s="1"/>
      <c r="S22" s="1" t="s">
        <v>1182</v>
      </c>
      <c r="T22" s="21">
        <v>35</v>
      </c>
      <c r="U22" s="21">
        <v>35</v>
      </c>
      <c r="V22" s="1">
        <f t="shared" si="4"/>
        <v>43</v>
      </c>
    </row>
    <row r="23" spans="1:22" ht="24" x14ac:dyDescent="0.35">
      <c r="A23" s="1" t="s">
        <v>39</v>
      </c>
      <c r="B23" s="10">
        <v>14</v>
      </c>
      <c r="C23" s="11">
        <v>107014</v>
      </c>
      <c r="D23" s="12"/>
      <c r="E23" s="14" t="s">
        <v>1160</v>
      </c>
      <c r="F23" s="11" t="s">
        <v>531</v>
      </c>
      <c r="G23" s="11" t="s">
        <v>86</v>
      </c>
      <c r="H23" s="11" t="s">
        <v>1232</v>
      </c>
      <c r="I23" s="12"/>
      <c r="L23" s="21">
        <v>35</v>
      </c>
      <c r="M23" s="21">
        <v>35</v>
      </c>
      <c r="O23" s="1" t="s">
        <v>1182</v>
      </c>
      <c r="P23" s="1">
        <v>5</v>
      </c>
      <c r="Q23" s="1"/>
      <c r="R23" s="1"/>
      <c r="S23" s="1" t="s">
        <v>1182</v>
      </c>
      <c r="T23" s="21">
        <v>35</v>
      </c>
      <c r="U23" s="21">
        <v>35</v>
      </c>
      <c r="V23" s="1">
        <f t="shared" si="4"/>
        <v>43</v>
      </c>
    </row>
    <row r="24" spans="1:22" ht="24" x14ac:dyDescent="0.35">
      <c r="A24" s="1" t="s">
        <v>39</v>
      </c>
      <c r="B24" s="10">
        <v>15</v>
      </c>
      <c r="C24" s="11">
        <v>107015</v>
      </c>
      <c r="D24" s="12"/>
      <c r="E24" s="14" t="s">
        <v>1160</v>
      </c>
      <c r="F24" s="11" t="s">
        <v>531</v>
      </c>
      <c r="G24" s="11" t="s">
        <v>86</v>
      </c>
      <c r="H24" s="11" t="s">
        <v>1150</v>
      </c>
      <c r="I24" s="12"/>
      <c r="L24" s="21"/>
      <c r="M24" s="21"/>
      <c r="O24" s="1"/>
      <c r="P24" s="1"/>
      <c r="Q24" s="1"/>
      <c r="R24" s="1"/>
      <c r="S24" s="1"/>
      <c r="T24" s="21"/>
      <c r="U24" s="21"/>
      <c r="V24" s="1">
        <f t="shared" si="4"/>
        <v>43</v>
      </c>
    </row>
    <row r="25" spans="1:22" ht="24" x14ac:dyDescent="0.35">
      <c r="A25" s="1" t="s">
        <v>39</v>
      </c>
      <c r="B25" s="10">
        <v>16</v>
      </c>
      <c r="C25" s="11">
        <v>107016</v>
      </c>
      <c r="D25" s="12"/>
      <c r="E25" s="14" t="s">
        <v>1161</v>
      </c>
      <c r="F25" s="11" t="s">
        <v>532</v>
      </c>
      <c r="G25" s="11" t="s">
        <v>86</v>
      </c>
      <c r="H25" s="11" t="s">
        <v>1152</v>
      </c>
      <c r="I25" s="11"/>
      <c r="L25" s="21">
        <v>35</v>
      </c>
      <c r="M25" s="21">
        <v>35</v>
      </c>
      <c r="O25" s="1" t="s">
        <v>1182</v>
      </c>
      <c r="P25" s="1">
        <v>5</v>
      </c>
      <c r="Q25" s="1"/>
      <c r="R25" s="1"/>
      <c r="S25" s="1" t="s">
        <v>1182</v>
      </c>
      <c r="T25" s="21">
        <v>35</v>
      </c>
      <c r="U25" s="21">
        <v>35</v>
      </c>
      <c r="V25" s="1">
        <f t="shared" si="4"/>
        <v>44</v>
      </c>
    </row>
    <row r="26" spans="1:22" ht="24" x14ac:dyDescent="0.35">
      <c r="A26" s="1" t="s">
        <v>39</v>
      </c>
      <c r="B26" s="10">
        <v>17</v>
      </c>
      <c r="C26" s="11">
        <v>107017</v>
      </c>
      <c r="D26" s="12"/>
      <c r="E26" s="14" t="s">
        <v>1161</v>
      </c>
      <c r="F26" s="11" t="s">
        <v>532</v>
      </c>
      <c r="G26" s="11" t="s">
        <v>86</v>
      </c>
      <c r="H26" s="11" t="s">
        <v>1152</v>
      </c>
      <c r="I26" s="12"/>
      <c r="L26" s="21">
        <v>35</v>
      </c>
      <c r="M26" s="21">
        <v>35</v>
      </c>
      <c r="O26" s="1" t="s">
        <v>1182</v>
      </c>
      <c r="P26" s="1">
        <v>5</v>
      </c>
      <c r="Q26" s="1"/>
      <c r="R26" s="1"/>
      <c r="S26" s="1" t="s">
        <v>1182</v>
      </c>
      <c r="T26" s="21">
        <v>35</v>
      </c>
      <c r="U26" s="21">
        <v>35</v>
      </c>
      <c r="V26" s="1">
        <f t="shared" si="4"/>
        <v>44</v>
      </c>
    </row>
    <row r="27" spans="1:22" ht="24" x14ac:dyDescent="0.35">
      <c r="A27" s="1" t="s">
        <v>39</v>
      </c>
      <c r="B27" s="10">
        <v>18</v>
      </c>
      <c r="C27" s="11">
        <v>107018</v>
      </c>
      <c r="D27" s="12"/>
      <c r="E27" s="14" t="s">
        <v>1161</v>
      </c>
      <c r="F27" s="11" t="s">
        <v>532</v>
      </c>
      <c r="G27" s="11" t="s">
        <v>86</v>
      </c>
      <c r="H27" s="11" t="s">
        <v>1152</v>
      </c>
      <c r="I27" s="12"/>
      <c r="L27" s="21">
        <v>35</v>
      </c>
      <c r="M27" s="21">
        <v>35</v>
      </c>
      <c r="O27" s="1" t="s">
        <v>1182</v>
      </c>
      <c r="P27" s="1">
        <v>5</v>
      </c>
      <c r="Q27" s="1"/>
      <c r="R27" s="1"/>
      <c r="S27" s="1" t="s">
        <v>1182</v>
      </c>
      <c r="T27" s="21">
        <v>35</v>
      </c>
      <c r="U27" s="21">
        <v>35</v>
      </c>
      <c r="V27" s="1">
        <f t="shared" si="4"/>
        <v>44</v>
      </c>
    </row>
    <row r="28" spans="1:22" ht="24" x14ac:dyDescent="0.35">
      <c r="A28" s="1" t="s">
        <v>39</v>
      </c>
      <c r="B28" s="10">
        <v>19</v>
      </c>
      <c r="C28" s="11">
        <v>107019</v>
      </c>
      <c r="D28" s="12"/>
      <c r="E28" s="14" t="s">
        <v>1161</v>
      </c>
      <c r="F28" s="11" t="s">
        <v>532</v>
      </c>
      <c r="G28" s="11" t="s">
        <v>86</v>
      </c>
      <c r="H28" s="11" t="s">
        <v>1234</v>
      </c>
      <c r="I28" s="12"/>
      <c r="L28" s="21">
        <v>35</v>
      </c>
      <c r="M28" s="21">
        <v>35</v>
      </c>
      <c r="O28" s="1" t="s">
        <v>1182</v>
      </c>
      <c r="P28" s="1">
        <v>5</v>
      </c>
      <c r="Q28" s="1"/>
      <c r="R28" s="1"/>
      <c r="S28" s="1" t="s">
        <v>1182</v>
      </c>
      <c r="T28" s="21">
        <v>35</v>
      </c>
      <c r="U28" s="21">
        <v>35</v>
      </c>
      <c r="V28" s="1">
        <f t="shared" si="4"/>
        <v>44</v>
      </c>
    </row>
    <row r="29" spans="1:22" ht="24" x14ac:dyDescent="0.35">
      <c r="A29" s="1" t="s">
        <v>39</v>
      </c>
      <c r="B29" s="10">
        <v>20</v>
      </c>
      <c r="C29" s="11">
        <v>107020</v>
      </c>
      <c r="D29" s="12"/>
      <c r="E29" s="14" t="s">
        <v>1161</v>
      </c>
      <c r="F29" s="11" t="s">
        <v>532</v>
      </c>
      <c r="G29" s="11" t="s">
        <v>86</v>
      </c>
      <c r="H29" s="19" t="s">
        <v>1188</v>
      </c>
      <c r="I29" s="12"/>
      <c r="L29" s="21">
        <v>140</v>
      </c>
      <c r="M29" s="21">
        <v>140</v>
      </c>
      <c r="O29" s="24" t="s">
        <v>1184</v>
      </c>
      <c r="P29" s="24">
        <v>1</v>
      </c>
      <c r="Q29" s="24">
        <v>35</v>
      </c>
      <c r="R29" s="24">
        <v>3000</v>
      </c>
      <c r="S29" s="24" t="s">
        <v>1184</v>
      </c>
      <c r="T29" s="21">
        <v>140</v>
      </c>
      <c r="U29" s="21">
        <v>140</v>
      </c>
      <c r="V29" s="1">
        <f t="shared" si="4"/>
        <v>44</v>
      </c>
    </row>
    <row r="30" spans="1:22" ht="24" x14ac:dyDescent="0.35">
      <c r="A30" s="1" t="s">
        <v>39</v>
      </c>
      <c r="B30" s="10">
        <v>21</v>
      </c>
      <c r="C30" s="11">
        <v>107021</v>
      </c>
      <c r="D30" s="12"/>
      <c r="E30" s="14" t="s">
        <v>1162</v>
      </c>
      <c r="F30" s="11" t="s">
        <v>532</v>
      </c>
      <c r="G30" s="11" t="s">
        <v>86</v>
      </c>
      <c r="H30" s="11" t="s">
        <v>1238</v>
      </c>
      <c r="I30" s="11"/>
      <c r="L30" s="21">
        <v>35</v>
      </c>
      <c r="M30" s="21">
        <v>35</v>
      </c>
      <c r="O30" s="1" t="s">
        <v>1182</v>
      </c>
      <c r="P30" s="1">
        <v>5</v>
      </c>
      <c r="Q30" s="1"/>
      <c r="R30" s="1"/>
      <c r="S30" s="1" t="s">
        <v>1182</v>
      </c>
      <c r="T30" s="21">
        <v>35</v>
      </c>
      <c r="U30" s="21">
        <v>35</v>
      </c>
      <c r="V30" s="1">
        <f t="shared" si="4"/>
        <v>45</v>
      </c>
    </row>
    <row r="31" spans="1:22" ht="24" x14ac:dyDescent="0.35">
      <c r="A31" s="1" t="s">
        <v>39</v>
      </c>
      <c r="B31" s="10">
        <v>22</v>
      </c>
      <c r="C31" s="11">
        <v>107022</v>
      </c>
      <c r="D31" s="12"/>
      <c r="E31" s="14" t="s">
        <v>1162</v>
      </c>
      <c r="F31" s="11" t="s">
        <v>532</v>
      </c>
      <c r="G31" s="11" t="s">
        <v>86</v>
      </c>
      <c r="H31" s="11" t="s">
        <v>1238</v>
      </c>
      <c r="I31" s="12"/>
      <c r="L31" s="21">
        <v>35</v>
      </c>
      <c r="M31" s="21">
        <v>35</v>
      </c>
      <c r="O31" s="1" t="s">
        <v>1182</v>
      </c>
      <c r="P31" s="1">
        <v>5</v>
      </c>
      <c r="Q31" s="1"/>
      <c r="R31" s="1"/>
      <c r="S31" s="1" t="s">
        <v>1182</v>
      </c>
      <c r="T31" s="21">
        <v>35</v>
      </c>
      <c r="U31" s="21">
        <v>35</v>
      </c>
      <c r="V31" s="1">
        <f t="shared" si="4"/>
        <v>45</v>
      </c>
    </row>
    <row r="32" spans="1:22" ht="24" x14ac:dyDescent="0.35">
      <c r="A32" s="1" t="s">
        <v>39</v>
      </c>
      <c r="B32" s="10">
        <v>23</v>
      </c>
      <c r="C32" s="11">
        <v>107023</v>
      </c>
      <c r="D32" s="12"/>
      <c r="E32" s="14" t="s">
        <v>1162</v>
      </c>
      <c r="F32" s="11" t="s">
        <v>532</v>
      </c>
      <c r="G32" s="11" t="s">
        <v>86</v>
      </c>
      <c r="H32" s="11" t="s">
        <v>1239</v>
      </c>
      <c r="I32" s="11"/>
      <c r="L32" s="21">
        <v>35</v>
      </c>
      <c r="M32" s="21">
        <v>35</v>
      </c>
      <c r="O32" s="1" t="s">
        <v>1182</v>
      </c>
      <c r="P32" s="1">
        <v>5</v>
      </c>
      <c r="Q32" s="1"/>
      <c r="R32" s="1"/>
      <c r="S32" s="1" t="s">
        <v>1182</v>
      </c>
      <c r="T32" s="21">
        <v>35</v>
      </c>
      <c r="U32" s="21">
        <v>35</v>
      </c>
      <c r="V32" s="1">
        <f t="shared" si="4"/>
        <v>45</v>
      </c>
    </row>
    <row r="33" spans="1:22" ht="24" x14ac:dyDescent="0.35">
      <c r="A33" s="1" t="s">
        <v>39</v>
      </c>
      <c r="B33" s="10">
        <v>24</v>
      </c>
      <c r="C33" s="11">
        <v>107024</v>
      </c>
      <c r="D33" s="12"/>
      <c r="E33" s="14" t="s">
        <v>1162</v>
      </c>
      <c r="F33" s="11" t="s">
        <v>532</v>
      </c>
      <c r="G33" s="11" t="s">
        <v>86</v>
      </c>
      <c r="H33" s="11" t="s">
        <v>1239</v>
      </c>
      <c r="I33" s="12"/>
      <c r="L33" s="21">
        <v>35</v>
      </c>
      <c r="M33" s="21">
        <v>35</v>
      </c>
      <c r="O33" s="1" t="s">
        <v>1182</v>
      </c>
      <c r="P33" s="1">
        <v>5</v>
      </c>
      <c r="Q33" s="1"/>
      <c r="R33" s="1"/>
      <c r="S33" s="1" t="s">
        <v>1182</v>
      </c>
      <c r="T33" s="21">
        <v>35</v>
      </c>
      <c r="U33" s="21">
        <v>35</v>
      </c>
      <c r="V33" s="1">
        <f t="shared" si="4"/>
        <v>45</v>
      </c>
    </row>
    <row r="34" spans="1:22" ht="24" x14ac:dyDescent="0.35">
      <c r="A34" s="1" t="s">
        <v>39</v>
      </c>
      <c r="B34" s="10">
        <v>25</v>
      </c>
      <c r="C34" s="11">
        <v>107025</v>
      </c>
      <c r="D34" s="12"/>
      <c r="E34" s="14" t="s">
        <v>1162</v>
      </c>
      <c r="F34" s="11" t="s">
        <v>532</v>
      </c>
      <c r="G34" s="11" t="s">
        <v>86</v>
      </c>
      <c r="H34" s="11" t="s">
        <v>1150</v>
      </c>
      <c r="I34" s="12"/>
      <c r="L34" s="21"/>
      <c r="M34" s="21"/>
      <c r="O34" s="1"/>
      <c r="P34" s="1"/>
      <c r="Q34" s="1"/>
      <c r="R34" s="1"/>
      <c r="S34" s="1"/>
      <c r="T34" s="21"/>
      <c r="U34" s="21"/>
      <c r="V34" s="1">
        <f t="shared" si="4"/>
        <v>45</v>
      </c>
    </row>
    <row r="35" spans="1:22" ht="24" x14ac:dyDescent="0.35">
      <c r="A35" s="1" t="s">
        <v>39</v>
      </c>
      <c r="B35" s="10">
        <v>26</v>
      </c>
      <c r="C35" s="11">
        <v>107026</v>
      </c>
      <c r="D35" s="12"/>
      <c r="E35" s="14" t="s">
        <v>1163</v>
      </c>
      <c r="F35" s="11" t="s">
        <v>532</v>
      </c>
      <c r="G35" s="11" t="s">
        <v>86</v>
      </c>
      <c r="H35" s="11" t="s">
        <v>1153</v>
      </c>
      <c r="I35" s="12"/>
      <c r="L35" s="21">
        <v>35</v>
      </c>
      <c r="M35" s="21">
        <v>35</v>
      </c>
      <c r="O35" s="1" t="s">
        <v>1182</v>
      </c>
      <c r="P35" s="1">
        <v>5</v>
      </c>
      <c r="Q35" s="1"/>
      <c r="R35" s="1"/>
      <c r="S35" s="1" t="s">
        <v>1182</v>
      </c>
      <c r="T35" s="21">
        <v>35</v>
      </c>
      <c r="U35" s="21">
        <v>35</v>
      </c>
      <c r="V35" s="1">
        <f t="shared" si="4"/>
        <v>46</v>
      </c>
    </row>
    <row r="36" spans="1:22" ht="24" x14ac:dyDescent="0.35">
      <c r="A36" s="1" t="s">
        <v>39</v>
      </c>
      <c r="B36" s="10">
        <v>27</v>
      </c>
      <c r="C36" s="11">
        <v>107027</v>
      </c>
      <c r="D36" s="12"/>
      <c r="E36" s="14" t="s">
        <v>1163</v>
      </c>
      <c r="F36" s="11" t="s">
        <v>532</v>
      </c>
      <c r="G36" s="11" t="s">
        <v>86</v>
      </c>
      <c r="H36" s="11" t="s">
        <v>1153</v>
      </c>
      <c r="I36" s="12"/>
      <c r="L36" s="21">
        <v>35</v>
      </c>
      <c r="M36" s="21">
        <v>35</v>
      </c>
      <c r="O36" s="1" t="s">
        <v>1182</v>
      </c>
      <c r="P36" s="1">
        <v>5</v>
      </c>
      <c r="Q36" s="1"/>
      <c r="R36" s="1"/>
      <c r="S36" s="1" t="s">
        <v>1182</v>
      </c>
      <c r="T36" s="21">
        <v>35</v>
      </c>
      <c r="U36" s="21">
        <v>35</v>
      </c>
      <c r="V36" s="1">
        <f t="shared" si="4"/>
        <v>46</v>
      </c>
    </row>
    <row r="37" spans="1:22" ht="24" x14ac:dyDescent="0.35">
      <c r="A37" s="1" t="s">
        <v>39</v>
      </c>
      <c r="B37" s="10">
        <v>28</v>
      </c>
      <c r="C37" s="11">
        <v>107028</v>
      </c>
      <c r="D37" s="12"/>
      <c r="E37" s="14" t="s">
        <v>1163</v>
      </c>
      <c r="F37" s="11" t="s">
        <v>532</v>
      </c>
      <c r="G37" s="11" t="s">
        <v>86</v>
      </c>
      <c r="H37" s="11" t="s">
        <v>1153</v>
      </c>
      <c r="I37" s="12"/>
      <c r="L37" s="21">
        <v>35</v>
      </c>
      <c r="M37" s="21">
        <v>35</v>
      </c>
      <c r="O37" s="1" t="s">
        <v>1182</v>
      </c>
      <c r="P37" s="1">
        <v>5</v>
      </c>
      <c r="Q37" s="1"/>
      <c r="R37" s="1"/>
      <c r="S37" s="1" t="s">
        <v>1182</v>
      </c>
      <c r="T37" s="21">
        <v>35</v>
      </c>
      <c r="U37" s="21">
        <v>35</v>
      </c>
      <c r="V37" s="1">
        <f t="shared" si="4"/>
        <v>46</v>
      </c>
    </row>
    <row r="38" spans="1:22" ht="24" x14ac:dyDescent="0.35">
      <c r="A38" s="1" t="s">
        <v>39</v>
      </c>
      <c r="B38" s="10">
        <v>29</v>
      </c>
      <c r="C38" s="11">
        <v>107029</v>
      </c>
      <c r="D38" s="12"/>
      <c r="E38" s="14" t="s">
        <v>1163</v>
      </c>
      <c r="F38" s="11" t="s">
        <v>532</v>
      </c>
      <c r="G38" s="11" t="s">
        <v>86</v>
      </c>
      <c r="H38" s="11" t="s">
        <v>1235</v>
      </c>
      <c r="I38" s="12"/>
      <c r="L38" s="21">
        <v>35</v>
      </c>
      <c r="M38" s="21">
        <v>35</v>
      </c>
      <c r="O38" s="1" t="s">
        <v>1182</v>
      </c>
      <c r="P38" s="1">
        <v>5</v>
      </c>
      <c r="Q38" s="1"/>
      <c r="R38" s="1"/>
      <c r="S38" s="1" t="s">
        <v>1182</v>
      </c>
      <c r="T38" s="21">
        <v>35</v>
      </c>
      <c r="U38" s="21">
        <v>35</v>
      </c>
      <c r="V38" s="1">
        <f t="shared" si="4"/>
        <v>46</v>
      </c>
    </row>
    <row r="39" spans="1:22" ht="24" x14ac:dyDescent="0.35">
      <c r="A39" s="1" t="s">
        <v>39</v>
      </c>
      <c r="B39" s="10">
        <v>30</v>
      </c>
      <c r="C39" s="11">
        <v>107030</v>
      </c>
      <c r="D39" s="12"/>
      <c r="E39" s="14" t="s">
        <v>1163</v>
      </c>
      <c r="F39" s="11" t="s">
        <v>532</v>
      </c>
      <c r="G39" s="11" t="s">
        <v>86</v>
      </c>
      <c r="H39" s="19" t="s">
        <v>1188</v>
      </c>
      <c r="I39" s="12"/>
      <c r="L39" s="21">
        <v>140</v>
      </c>
      <c r="M39" s="21">
        <v>140</v>
      </c>
      <c r="O39" s="24" t="s">
        <v>1184</v>
      </c>
      <c r="P39" s="24">
        <v>1</v>
      </c>
      <c r="Q39" s="24">
        <v>35</v>
      </c>
      <c r="R39" s="24">
        <v>3000</v>
      </c>
      <c r="S39" s="24" t="s">
        <v>1184</v>
      </c>
      <c r="T39" s="21">
        <v>140</v>
      </c>
      <c r="U39" s="21">
        <v>140</v>
      </c>
      <c r="V39" s="1">
        <f t="shared" si="4"/>
        <v>46</v>
      </c>
    </row>
    <row r="40" spans="1:22" ht="24" x14ac:dyDescent="0.35">
      <c r="A40" s="1" t="s">
        <v>39</v>
      </c>
      <c r="B40" s="10">
        <v>31</v>
      </c>
      <c r="C40" s="11">
        <v>107031</v>
      </c>
      <c r="D40" s="12"/>
      <c r="E40" s="14" t="s">
        <v>1164</v>
      </c>
      <c r="F40" s="11" t="s">
        <v>533</v>
      </c>
      <c r="G40" s="11" t="s">
        <v>86</v>
      </c>
      <c r="H40" s="11" t="s">
        <v>1154</v>
      </c>
      <c r="I40" s="12"/>
      <c r="L40" s="21">
        <v>35</v>
      </c>
      <c r="M40" s="21">
        <v>35</v>
      </c>
      <c r="O40" s="1" t="s">
        <v>1182</v>
      </c>
      <c r="P40" s="1">
        <v>5</v>
      </c>
      <c r="Q40" s="1"/>
      <c r="R40" s="1"/>
      <c r="S40" s="1" t="s">
        <v>1182</v>
      </c>
      <c r="T40" s="21">
        <v>35</v>
      </c>
      <c r="U40" s="21">
        <v>35</v>
      </c>
      <c r="V40" s="1">
        <f t="shared" si="4"/>
        <v>47</v>
      </c>
    </row>
    <row r="41" spans="1:22" ht="24" x14ac:dyDescent="0.35">
      <c r="A41" s="1" t="s">
        <v>39</v>
      </c>
      <c r="B41" s="10">
        <v>32</v>
      </c>
      <c r="C41" s="11">
        <v>107032</v>
      </c>
      <c r="D41" s="12"/>
      <c r="E41" s="14" t="s">
        <v>1164</v>
      </c>
      <c r="F41" s="11" t="s">
        <v>533</v>
      </c>
      <c r="G41" s="11" t="s">
        <v>86</v>
      </c>
      <c r="H41" s="11" t="s">
        <v>1154</v>
      </c>
      <c r="I41" s="12"/>
      <c r="L41" s="21">
        <v>35</v>
      </c>
      <c r="M41" s="21">
        <v>35</v>
      </c>
      <c r="O41" s="1" t="s">
        <v>1182</v>
      </c>
      <c r="P41" s="1">
        <v>5</v>
      </c>
      <c r="Q41" s="1"/>
      <c r="R41" s="1"/>
      <c r="S41" s="1" t="s">
        <v>1182</v>
      </c>
      <c r="T41" s="21">
        <v>35</v>
      </c>
      <c r="U41" s="21">
        <v>35</v>
      </c>
      <c r="V41" s="1">
        <f t="shared" si="4"/>
        <v>47</v>
      </c>
    </row>
    <row r="42" spans="1:22" ht="24" x14ac:dyDescent="0.35">
      <c r="A42" s="1" t="s">
        <v>39</v>
      </c>
      <c r="B42" s="10">
        <v>33</v>
      </c>
      <c r="C42" s="11">
        <v>107033</v>
      </c>
      <c r="D42" s="12"/>
      <c r="E42" s="14" t="s">
        <v>1164</v>
      </c>
      <c r="F42" s="11" t="s">
        <v>533</v>
      </c>
      <c r="G42" s="11" t="s">
        <v>86</v>
      </c>
      <c r="H42" s="11" t="s">
        <v>1154</v>
      </c>
      <c r="I42" s="12"/>
      <c r="L42" s="21">
        <v>35</v>
      </c>
      <c r="M42" s="21">
        <v>35</v>
      </c>
      <c r="O42" s="1" t="s">
        <v>1182</v>
      </c>
      <c r="P42" s="1">
        <v>5</v>
      </c>
      <c r="Q42" s="1"/>
      <c r="R42" s="1"/>
      <c r="S42" s="1" t="s">
        <v>1182</v>
      </c>
      <c r="T42" s="21">
        <v>35</v>
      </c>
      <c r="U42" s="21">
        <v>35</v>
      </c>
      <c r="V42" s="1">
        <f t="shared" si="4"/>
        <v>47</v>
      </c>
    </row>
    <row r="43" spans="1:22" ht="24" x14ac:dyDescent="0.35">
      <c r="A43" s="1" t="s">
        <v>39</v>
      </c>
      <c r="B43" s="10">
        <v>34</v>
      </c>
      <c r="C43" s="11">
        <v>107034</v>
      </c>
      <c r="D43" s="12"/>
      <c r="E43" s="14" t="s">
        <v>1164</v>
      </c>
      <c r="F43" s="11" t="s">
        <v>533</v>
      </c>
      <c r="G43" s="11" t="s">
        <v>86</v>
      </c>
      <c r="H43" s="11" t="s">
        <v>1154</v>
      </c>
      <c r="I43" s="12"/>
      <c r="L43" s="21">
        <v>35</v>
      </c>
      <c r="M43" s="21">
        <v>35</v>
      </c>
      <c r="O43" s="1" t="s">
        <v>1182</v>
      </c>
      <c r="P43" s="1">
        <v>5</v>
      </c>
      <c r="Q43" s="1"/>
      <c r="R43" s="1"/>
      <c r="S43" s="1" t="s">
        <v>1182</v>
      </c>
      <c r="T43" s="21">
        <v>35</v>
      </c>
      <c r="U43" s="21">
        <v>35</v>
      </c>
      <c r="V43" s="1">
        <f t="shared" si="4"/>
        <v>47</v>
      </c>
    </row>
    <row r="44" spans="1:22" ht="24" x14ac:dyDescent="0.35">
      <c r="A44" s="1" t="s">
        <v>39</v>
      </c>
      <c r="B44" s="10">
        <v>35</v>
      </c>
      <c r="C44" s="11">
        <v>107035</v>
      </c>
      <c r="D44" s="12"/>
      <c r="E44" s="14" t="s">
        <v>1164</v>
      </c>
      <c r="F44" s="11" t="s">
        <v>533</v>
      </c>
      <c r="G44" s="11" t="s">
        <v>86</v>
      </c>
      <c r="H44" s="11" t="s">
        <v>1150</v>
      </c>
      <c r="I44" s="12"/>
      <c r="L44" s="21"/>
      <c r="M44" s="21"/>
      <c r="O44" s="1"/>
      <c r="P44" s="1"/>
      <c r="Q44" s="1"/>
      <c r="R44" s="1"/>
      <c r="S44" s="1"/>
      <c r="T44" s="21"/>
      <c r="U44" s="21"/>
      <c r="V44" s="1">
        <f t="shared" si="4"/>
        <v>47</v>
      </c>
    </row>
    <row r="45" spans="1:22" ht="24" x14ac:dyDescent="0.35">
      <c r="A45" s="1" t="s">
        <v>39</v>
      </c>
      <c r="B45" s="10">
        <v>36</v>
      </c>
      <c r="C45" s="11">
        <v>107036</v>
      </c>
      <c r="D45" s="12"/>
      <c r="E45" s="14" t="s">
        <v>1165</v>
      </c>
      <c r="F45" s="11" t="s">
        <v>533</v>
      </c>
      <c r="G45" s="11" t="s">
        <v>86</v>
      </c>
      <c r="H45" s="11" t="s">
        <v>1155</v>
      </c>
      <c r="I45" s="12"/>
      <c r="L45" s="21">
        <v>35</v>
      </c>
      <c r="M45" s="21">
        <v>35</v>
      </c>
      <c r="O45" s="1" t="s">
        <v>1182</v>
      </c>
      <c r="P45" s="1">
        <v>5</v>
      </c>
      <c r="Q45" s="1"/>
      <c r="R45" s="1"/>
      <c r="S45" s="1" t="s">
        <v>1182</v>
      </c>
      <c r="T45" s="21">
        <v>35</v>
      </c>
      <c r="U45" s="21">
        <v>35</v>
      </c>
      <c r="V45" s="1">
        <f t="shared" si="4"/>
        <v>48</v>
      </c>
    </row>
    <row r="46" spans="1:22" ht="24" x14ac:dyDescent="0.35">
      <c r="A46" s="1" t="s">
        <v>39</v>
      </c>
      <c r="B46" s="10">
        <v>37</v>
      </c>
      <c r="C46" s="11">
        <v>107037</v>
      </c>
      <c r="D46" s="12"/>
      <c r="E46" s="14" t="s">
        <v>1165</v>
      </c>
      <c r="F46" s="11" t="s">
        <v>533</v>
      </c>
      <c r="G46" s="11" t="s">
        <v>86</v>
      </c>
      <c r="H46" s="11" t="s">
        <v>1155</v>
      </c>
      <c r="I46" s="12"/>
      <c r="L46" s="21">
        <v>35</v>
      </c>
      <c r="M46" s="21">
        <v>35</v>
      </c>
      <c r="O46" s="1" t="s">
        <v>1182</v>
      </c>
      <c r="P46" s="1">
        <v>5</v>
      </c>
      <c r="Q46" s="1"/>
      <c r="R46" s="1"/>
      <c r="S46" s="1" t="s">
        <v>1182</v>
      </c>
      <c r="T46" s="21">
        <v>35</v>
      </c>
      <c r="U46" s="21">
        <v>35</v>
      </c>
      <c r="V46" s="1">
        <f t="shared" si="4"/>
        <v>48</v>
      </c>
    </row>
    <row r="47" spans="1:22" ht="24" x14ac:dyDescent="0.35">
      <c r="A47" s="1" t="s">
        <v>39</v>
      </c>
      <c r="B47" s="10">
        <v>38</v>
      </c>
      <c r="C47" s="11">
        <v>107038</v>
      </c>
      <c r="D47" s="12"/>
      <c r="E47" s="14" t="s">
        <v>1165</v>
      </c>
      <c r="F47" s="11" t="s">
        <v>533</v>
      </c>
      <c r="G47" s="11" t="s">
        <v>86</v>
      </c>
      <c r="H47" s="11" t="s">
        <v>1155</v>
      </c>
      <c r="I47" s="12"/>
      <c r="L47" s="21">
        <v>35</v>
      </c>
      <c r="M47" s="21">
        <v>35</v>
      </c>
      <c r="O47" s="1" t="s">
        <v>1182</v>
      </c>
      <c r="P47" s="1">
        <v>5</v>
      </c>
      <c r="Q47" s="1"/>
      <c r="R47" s="1"/>
      <c r="S47" s="1" t="s">
        <v>1182</v>
      </c>
      <c r="T47" s="21">
        <v>35</v>
      </c>
      <c r="U47" s="21">
        <v>35</v>
      </c>
      <c r="V47" s="1">
        <f t="shared" si="4"/>
        <v>48</v>
      </c>
    </row>
    <row r="48" spans="1:22" ht="24" x14ac:dyDescent="0.35">
      <c r="A48" s="1" t="s">
        <v>39</v>
      </c>
      <c r="B48" s="10">
        <v>39</v>
      </c>
      <c r="C48" s="11">
        <v>107039</v>
      </c>
      <c r="D48" s="12"/>
      <c r="E48" s="14" t="s">
        <v>1165</v>
      </c>
      <c r="F48" s="11" t="s">
        <v>533</v>
      </c>
      <c r="G48" s="11" t="s">
        <v>86</v>
      </c>
      <c r="H48" s="11" t="s">
        <v>1236</v>
      </c>
      <c r="I48" s="12"/>
      <c r="L48" s="21">
        <v>35</v>
      </c>
      <c r="M48" s="21">
        <v>35</v>
      </c>
      <c r="O48" s="1" t="s">
        <v>1182</v>
      </c>
      <c r="P48" s="1">
        <v>5</v>
      </c>
      <c r="Q48" s="1"/>
      <c r="R48" s="1"/>
      <c r="S48" s="1" t="s">
        <v>1182</v>
      </c>
      <c r="T48" s="21">
        <v>35</v>
      </c>
      <c r="U48" s="21">
        <v>35</v>
      </c>
      <c r="V48" s="1">
        <f t="shared" si="4"/>
        <v>48</v>
      </c>
    </row>
    <row r="49" spans="1:22" ht="24" x14ac:dyDescent="0.35">
      <c r="A49" s="1" t="s">
        <v>39</v>
      </c>
      <c r="B49" s="10">
        <v>40</v>
      </c>
      <c r="C49" s="11">
        <v>107040</v>
      </c>
      <c r="D49" s="12"/>
      <c r="E49" s="14" t="s">
        <v>1165</v>
      </c>
      <c r="F49" s="11" t="s">
        <v>533</v>
      </c>
      <c r="G49" s="11" t="s">
        <v>86</v>
      </c>
      <c r="H49" s="19" t="s">
        <v>1188</v>
      </c>
      <c r="I49" s="12"/>
      <c r="L49" s="21">
        <v>140</v>
      </c>
      <c r="M49" s="21">
        <v>140</v>
      </c>
      <c r="O49" s="24" t="s">
        <v>1184</v>
      </c>
      <c r="P49" s="24">
        <v>1</v>
      </c>
      <c r="Q49" s="24">
        <v>35</v>
      </c>
      <c r="R49" s="24">
        <v>3000</v>
      </c>
      <c r="S49" s="24" t="s">
        <v>1184</v>
      </c>
      <c r="T49" s="21">
        <v>140</v>
      </c>
      <c r="U49" s="21">
        <v>140</v>
      </c>
      <c r="V49" s="1">
        <f t="shared" si="4"/>
        <v>48</v>
      </c>
    </row>
    <row r="50" spans="1:22" ht="24" x14ac:dyDescent="0.35">
      <c r="A50" s="1" t="s">
        <v>39</v>
      </c>
      <c r="B50" s="10">
        <v>41</v>
      </c>
      <c r="C50" s="11">
        <v>107041</v>
      </c>
      <c r="D50" s="12"/>
      <c r="E50" s="14" t="s">
        <v>1166</v>
      </c>
      <c r="F50" s="11" t="s">
        <v>534</v>
      </c>
      <c r="G50" s="11" t="s">
        <v>86</v>
      </c>
      <c r="H50" s="11" t="s">
        <v>1156</v>
      </c>
      <c r="I50" s="12"/>
      <c r="L50" s="21">
        <v>35</v>
      </c>
      <c r="M50" s="21">
        <v>35</v>
      </c>
      <c r="O50" s="1" t="s">
        <v>1182</v>
      </c>
      <c r="P50" s="1">
        <v>5</v>
      </c>
      <c r="Q50" s="1"/>
      <c r="R50" s="1"/>
      <c r="S50" s="1" t="s">
        <v>1182</v>
      </c>
      <c r="T50" s="21">
        <v>35</v>
      </c>
      <c r="U50" s="21">
        <v>35</v>
      </c>
      <c r="V50" s="1">
        <f t="shared" si="4"/>
        <v>49</v>
      </c>
    </row>
    <row r="51" spans="1:22" ht="24" x14ac:dyDescent="0.35">
      <c r="A51" s="1" t="s">
        <v>39</v>
      </c>
      <c r="B51" s="10">
        <v>42</v>
      </c>
      <c r="C51" s="11">
        <v>107042</v>
      </c>
      <c r="D51" s="12"/>
      <c r="E51" s="14" t="s">
        <v>1166</v>
      </c>
      <c r="F51" s="11" t="s">
        <v>534</v>
      </c>
      <c r="G51" s="11" t="s">
        <v>86</v>
      </c>
      <c r="H51" s="11" t="s">
        <v>1156</v>
      </c>
      <c r="I51" s="12"/>
      <c r="L51" s="21">
        <v>35</v>
      </c>
      <c r="M51" s="21">
        <v>35</v>
      </c>
      <c r="O51" s="1" t="s">
        <v>1182</v>
      </c>
      <c r="P51" s="1">
        <v>5</v>
      </c>
      <c r="Q51" s="1"/>
      <c r="R51" s="1"/>
      <c r="S51" s="1" t="s">
        <v>1182</v>
      </c>
      <c r="T51" s="21">
        <v>35</v>
      </c>
      <c r="U51" s="21">
        <v>35</v>
      </c>
      <c r="V51" s="1">
        <f t="shared" si="4"/>
        <v>49</v>
      </c>
    </row>
    <row r="52" spans="1:22" ht="24" x14ac:dyDescent="0.35">
      <c r="A52" s="1" t="s">
        <v>39</v>
      </c>
      <c r="B52" s="10">
        <v>43</v>
      </c>
      <c r="C52" s="11">
        <v>107043</v>
      </c>
      <c r="D52" s="12"/>
      <c r="E52" s="14" t="s">
        <v>1166</v>
      </c>
      <c r="F52" s="11" t="s">
        <v>534</v>
      </c>
      <c r="G52" s="11" t="s">
        <v>86</v>
      </c>
      <c r="H52" s="11" t="s">
        <v>1156</v>
      </c>
      <c r="I52" s="12"/>
      <c r="L52" s="21">
        <v>35</v>
      </c>
      <c r="M52" s="21">
        <v>35</v>
      </c>
      <c r="O52" s="1" t="s">
        <v>1182</v>
      </c>
      <c r="P52" s="1">
        <v>5</v>
      </c>
      <c r="Q52" s="1"/>
      <c r="R52" s="1"/>
      <c r="S52" s="1" t="s">
        <v>1182</v>
      </c>
      <c r="T52" s="21">
        <v>35</v>
      </c>
      <c r="U52" s="21">
        <v>35</v>
      </c>
      <c r="V52" s="1">
        <f t="shared" si="4"/>
        <v>49</v>
      </c>
    </row>
    <row r="53" spans="1:22" ht="24" x14ac:dyDescent="0.35">
      <c r="A53" s="1" t="s">
        <v>39</v>
      </c>
      <c r="B53" s="10">
        <v>44</v>
      </c>
      <c r="C53" s="11">
        <v>107044</v>
      </c>
      <c r="D53" s="12"/>
      <c r="E53" s="14" t="s">
        <v>1166</v>
      </c>
      <c r="F53" s="11" t="s">
        <v>534</v>
      </c>
      <c r="G53" s="11" t="s">
        <v>86</v>
      </c>
      <c r="H53" s="11" t="s">
        <v>1156</v>
      </c>
      <c r="I53" s="12"/>
      <c r="L53" s="21">
        <v>35</v>
      </c>
      <c r="M53" s="21">
        <v>35</v>
      </c>
      <c r="O53" s="1" t="s">
        <v>1182</v>
      </c>
      <c r="P53" s="1">
        <v>5</v>
      </c>
      <c r="Q53" s="1"/>
      <c r="R53" s="1"/>
      <c r="S53" s="1" t="s">
        <v>1182</v>
      </c>
      <c r="T53" s="21">
        <v>35</v>
      </c>
      <c r="U53" s="21">
        <v>35</v>
      </c>
      <c r="V53" s="1">
        <f t="shared" si="4"/>
        <v>49</v>
      </c>
    </row>
    <row r="54" spans="1:22" ht="24" x14ac:dyDescent="0.35">
      <c r="A54" s="1" t="s">
        <v>39</v>
      </c>
      <c r="B54" s="10">
        <v>45</v>
      </c>
      <c r="C54" s="11">
        <v>107045</v>
      </c>
      <c r="D54" s="12"/>
      <c r="E54" s="14" t="s">
        <v>1166</v>
      </c>
      <c r="F54" s="11" t="s">
        <v>534</v>
      </c>
      <c r="G54" s="11" t="s">
        <v>86</v>
      </c>
      <c r="H54" s="11" t="s">
        <v>1150</v>
      </c>
      <c r="I54" s="12"/>
      <c r="L54" s="21"/>
      <c r="M54" s="21"/>
      <c r="O54" s="1"/>
      <c r="P54" s="1"/>
      <c r="Q54" s="1"/>
      <c r="R54" s="1"/>
      <c r="S54" s="1"/>
      <c r="T54" s="21"/>
      <c r="U54" s="21"/>
      <c r="V54" s="1">
        <f t="shared" si="4"/>
        <v>49</v>
      </c>
    </row>
    <row r="55" spans="1:22" ht="24" x14ac:dyDescent="0.35">
      <c r="A55" s="1" t="s">
        <v>39</v>
      </c>
      <c r="B55" s="10">
        <v>46</v>
      </c>
      <c r="C55" s="11">
        <v>107046</v>
      </c>
      <c r="D55" s="12"/>
      <c r="E55" s="14" t="s">
        <v>1167</v>
      </c>
      <c r="F55" s="11" t="s">
        <v>534</v>
      </c>
      <c r="G55" s="11" t="s">
        <v>86</v>
      </c>
      <c r="H55" s="11" t="s">
        <v>1157</v>
      </c>
      <c r="I55" s="12"/>
      <c r="L55" s="21">
        <v>35</v>
      </c>
      <c r="M55" s="21">
        <v>35</v>
      </c>
      <c r="O55" s="1" t="s">
        <v>1182</v>
      </c>
      <c r="P55" s="1">
        <v>5</v>
      </c>
      <c r="Q55" s="1"/>
      <c r="R55" s="1"/>
      <c r="S55" s="1" t="s">
        <v>1182</v>
      </c>
      <c r="T55" s="21">
        <v>35</v>
      </c>
      <c r="U55" s="21">
        <v>35</v>
      </c>
      <c r="V55" s="1">
        <f t="shared" si="4"/>
        <v>50</v>
      </c>
    </row>
    <row r="56" spans="1:22" ht="24" x14ac:dyDescent="0.35">
      <c r="A56" s="1" t="s">
        <v>39</v>
      </c>
      <c r="B56" s="10">
        <v>47</v>
      </c>
      <c r="C56" s="11">
        <v>107047</v>
      </c>
      <c r="D56" s="12"/>
      <c r="E56" s="14" t="s">
        <v>1167</v>
      </c>
      <c r="F56" s="11" t="s">
        <v>534</v>
      </c>
      <c r="G56" s="11" t="s">
        <v>86</v>
      </c>
      <c r="H56" s="11" t="s">
        <v>1157</v>
      </c>
      <c r="I56" s="12"/>
      <c r="L56" s="21">
        <v>35</v>
      </c>
      <c r="M56" s="21">
        <v>35</v>
      </c>
      <c r="O56" s="1" t="s">
        <v>1182</v>
      </c>
      <c r="P56" s="1">
        <v>5</v>
      </c>
      <c r="Q56" s="1"/>
      <c r="R56" s="1"/>
      <c r="S56" s="1" t="s">
        <v>1182</v>
      </c>
      <c r="T56" s="21">
        <v>35</v>
      </c>
      <c r="U56" s="21">
        <v>35</v>
      </c>
      <c r="V56" s="1">
        <f t="shared" si="4"/>
        <v>50</v>
      </c>
    </row>
    <row r="57" spans="1:22" ht="24" x14ac:dyDescent="0.35">
      <c r="A57" s="1" t="s">
        <v>39</v>
      </c>
      <c r="B57" s="10">
        <v>48</v>
      </c>
      <c r="C57" s="11">
        <v>107048</v>
      </c>
      <c r="D57" s="12"/>
      <c r="E57" s="14" t="s">
        <v>1167</v>
      </c>
      <c r="F57" s="11" t="s">
        <v>534</v>
      </c>
      <c r="G57" s="11" t="s">
        <v>86</v>
      </c>
      <c r="H57" s="11" t="s">
        <v>1157</v>
      </c>
      <c r="I57" s="12"/>
      <c r="L57" s="21">
        <v>35</v>
      </c>
      <c r="M57" s="21">
        <v>35</v>
      </c>
      <c r="O57" s="1" t="s">
        <v>1182</v>
      </c>
      <c r="P57" s="1">
        <v>5</v>
      </c>
      <c r="Q57" s="1"/>
      <c r="R57" s="1"/>
      <c r="S57" s="1" t="s">
        <v>1182</v>
      </c>
      <c r="T57" s="21">
        <v>35</v>
      </c>
      <c r="U57" s="21">
        <v>35</v>
      </c>
      <c r="V57" s="1">
        <f t="shared" si="4"/>
        <v>50</v>
      </c>
    </row>
    <row r="58" spans="1:22" ht="24" x14ac:dyDescent="0.35">
      <c r="A58" s="1" t="s">
        <v>39</v>
      </c>
      <c r="B58" s="10">
        <v>49</v>
      </c>
      <c r="C58" s="11">
        <v>107049</v>
      </c>
      <c r="D58" s="12"/>
      <c r="E58" s="14" t="s">
        <v>1167</v>
      </c>
      <c r="F58" s="11" t="s">
        <v>534</v>
      </c>
      <c r="G58" s="11" t="s">
        <v>86</v>
      </c>
      <c r="H58" s="11" t="s">
        <v>1237</v>
      </c>
      <c r="I58" s="12"/>
      <c r="L58" s="21">
        <v>35</v>
      </c>
      <c r="M58" s="21">
        <v>35</v>
      </c>
      <c r="O58" s="1" t="s">
        <v>1182</v>
      </c>
      <c r="P58" s="1">
        <v>5</v>
      </c>
      <c r="Q58" s="1"/>
      <c r="R58" s="1"/>
      <c r="S58" s="1" t="s">
        <v>1182</v>
      </c>
      <c r="T58" s="21">
        <v>35</v>
      </c>
      <c r="U58" s="21">
        <v>35</v>
      </c>
      <c r="V58" s="1">
        <f t="shared" si="4"/>
        <v>50</v>
      </c>
    </row>
    <row r="59" spans="1:22" ht="24" x14ac:dyDescent="0.35">
      <c r="A59" s="1" t="s">
        <v>39</v>
      </c>
      <c r="B59" s="10">
        <v>50</v>
      </c>
      <c r="C59" s="11">
        <v>107050</v>
      </c>
      <c r="D59" s="12"/>
      <c r="E59" s="14" t="s">
        <v>1167</v>
      </c>
      <c r="F59" s="11" t="s">
        <v>534</v>
      </c>
      <c r="G59" s="11" t="s">
        <v>86</v>
      </c>
      <c r="H59" s="11" t="s">
        <v>1189</v>
      </c>
      <c r="I59" s="12"/>
      <c r="L59" s="21">
        <v>140</v>
      </c>
      <c r="M59" s="21">
        <v>140</v>
      </c>
      <c r="O59" s="24" t="s">
        <v>1184</v>
      </c>
      <c r="P59" s="24">
        <v>1</v>
      </c>
      <c r="Q59" s="24">
        <v>15</v>
      </c>
      <c r="R59" s="24">
        <v>3000</v>
      </c>
      <c r="S59" s="24" t="s">
        <v>1184</v>
      </c>
      <c r="T59" s="21">
        <v>140</v>
      </c>
      <c r="U59" s="21">
        <v>140</v>
      </c>
      <c r="V59" s="1">
        <f t="shared" si="4"/>
        <v>50</v>
      </c>
    </row>
    <row r="60" spans="1:22" x14ac:dyDescent="0.15">
      <c r="A60" s="1"/>
      <c r="B60" s="10"/>
      <c r="C60" s="1"/>
      <c r="D60" s="1"/>
      <c r="E60" s="1"/>
      <c r="F60" s="1"/>
      <c r="G60" s="1"/>
      <c r="H60" s="1"/>
      <c r="I60" s="1"/>
    </row>
    <row r="61" spans="1:22" x14ac:dyDescent="0.15">
      <c r="A61" s="1"/>
      <c r="B61" s="10"/>
      <c r="C61" s="1"/>
      <c r="D61" s="1"/>
      <c r="E61" s="1"/>
      <c r="F61" s="1"/>
      <c r="G61" s="1"/>
      <c r="H61" s="1"/>
      <c r="I61" s="1"/>
    </row>
    <row r="62" spans="1:22" x14ac:dyDescent="0.15">
      <c r="A62" s="1"/>
      <c r="B62" s="10"/>
      <c r="C62" s="1"/>
      <c r="D62" s="1"/>
      <c r="E62" s="1"/>
      <c r="F62" s="1"/>
      <c r="G62" s="1"/>
      <c r="H62" s="1"/>
      <c r="I62" s="1"/>
    </row>
    <row r="63" spans="1:22" x14ac:dyDescent="0.15">
      <c r="A63" s="1"/>
      <c r="B63" s="10"/>
      <c r="C63" s="1"/>
      <c r="D63" s="1"/>
      <c r="E63" s="1"/>
      <c r="F63" s="1"/>
      <c r="G63" s="1"/>
      <c r="H63" s="1"/>
      <c r="I63" s="1"/>
    </row>
    <row r="64" spans="1:22" x14ac:dyDescent="0.15">
      <c r="A64" s="1"/>
      <c r="B64" s="10"/>
      <c r="C64" s="1"/>
      <c r="D64" s="1"/>
      <c r="E64" s="1"/>
      <c r="F64" s="1"/>
      <c r="G64" s="1"/>
      <c r="H64" s="1"/>
      <c r="I64" s="1"/>
    </row>
    <row r="65" spans="1:9" x14ac:dyDescent="0.15">
      <c r="A65" s="1"/>
      <c r="B65" s="10"/>
      <c r="C65" s="1"/>
      <c r="D65" s="1"/>
      <c r="E65" s="1"/>
      <c r="F65" s="1"/>
      <c r="G65" s="1"/>
      <c r="H65" s="1"/>
      <c r="I65" s="1"/>
    </row>
    <row r="66" spans="1:9" x14ac:dyDescent="0.15">
      <c r="A66" s="1"/>
      <c r="B66" s="10"/>
      <c r="C66" s="1"/>
      <c r="D66" s="1"/>
      <c r="E66" s="1"/>
      <c r="F66" s="1"/>
      <c r="G66" s="1"/>
      <c r="H66" s="1"/>
      <c r="I66" s="1"/>
    </row>
    <row r="67" spans="1:9" x14ac:dyDescent="0.15">
      <c r="A67" s="1"/>
      <c r="B67" s="10"/>
      <c r="C67" s="1"/>
      <c r="D67" s="1"/>
      <c r="E67" s="1"/>
      <c r="F67" s="1"/>
      <c r="G67" s="1"/>
      <c r="H67" s="1"/>
      <c r="I67" s="1"/>
    </row>
  </sheetData>
  <phoneticPr fontId="35" type="noConversion"/>
  <conditionalFormatting sqref="B1:B3 B5:B9 B60:B67">
    <cfRule type="duplicateValues" dxfId="7" priority="2"/>
  </conditionalFormatting>
  <conditionalFormatting sqref="B10:B59">
    <cfRule type="duplicateValues" dxfId="6" priority="1"/>
  </conditionalFormatting>
  <pageMargins left="0.7" right="0.7" top="0.75" bottom="0.75" header="0.3" footer="0.3"/>
  <pageSetup paperSize="9"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V67"/>
  <sheetViews>
    <sheetView workbookViewId="0">
      <selection activeCell="G14" sqref="G14"/>
    </sheetView>
  </sheetViews>
  <sheetFormatPr defaultColWidth="9" defaultRowHeight="13.5" x14ac:dyDescent="0.15"/>
  <cols>
    <col min="2" max="2" width="4.5" bestFit="1" customWidth="1"/>
    <col min="3" max="3" width="7.875" bestFit="1" customWidth="1"/>
    <col min="4" max="4" width="6.875" bestFit="1" customWidth="1"/>
    <col min="5" max="5" width="23.875" bestFit="1" customWidth="1"/>
    <col min="6" max="6" width="12.875" bestFit="1" customWidth="1"/>
    <col min="7" max="7" width="15.125" bestFit="1" customWidth="1"/>
    <col min="8" max="8" width="87.875" bestFit="1" customWidth="1"/>
    <col min="9" max="9" width="26.75" bestFit="1" customWidth="1"/>
    <col min="10" max="10" width="9.5" bestFit="1" customWidth="1"/>
    <col min="11" max="11" width="9.75" style="1" bestFit="1" customWidth="1"/>
    <col min="12" max="12" width="7.75" bestFit="1" customWidth="1"/>
    <col min="13" max="13" width="7" bestFit="1" customWidth="1"/>
    <col min="14" max="14" width="9.625" bestFit="1" customWidth="1"/>
    <col min="15" max="15" width="28.375" bestFit="1" customWidth="1"/>
    <col min="16" max="16" width="15.375" customWidth="1"/>
    <col min="17" max="17" width="11.25" bestFit="1" customWidth="1"/>
    <col min="18" max="18" width="9.75" bestFit="1" customWidth="1"/>
    <col min="19" max="19" width="28.375" bestFit="1" customWidth="1"/>
    <col min="20" max="20" width="10" bestFit="1" customWidth="1"/>
    <col min="21" max="21" width="10.875" bestFit="1" customWidth="1"/>
    <col min="22" max="22" width="7.125" bestFit="1" customWidth="1"/>
  </cols>
  <sheetData>
    <row r="1" spans="1:22" x14ac:dyDescent="0.15">
      <c r="A1" s="2" t="s">
        <v>38</v>
      </c>
      <c r="B1" s="3" t="s">
        <v>39</v>
      </c>
      <c r="C1" s="3" t="s">
        <v>39</v>
      </c>
      <c r="D1" s="3" t="s">
        <v>39</v>
      </c>
      <c r="E1" s="3" t="s">
        <v>39</v>
      </c>
      <c r="F1" s="3" t="s">
        <v>39</v>
      </c>
      <c r="G1" s="3" t="s">
        <v>39</v>
      </c>
      <c r="H1" s="3" t="s">
        <v>39</v>
      </c>
      <c r="I1" s="3" t="s">
        <v>39</v>
      </c>
      <c r="J1" s="3" t="s">
        <v>39</v>
      </c>
      <c r="K1" s="3" t="s">
        <v>39</v>
      </c>
      <c r="L1" s="3" t="s">
        <v>39</v>
      </c>
      <c r="M1" s="3" t="s">
        <v>39</v>
      </c>
      <c r="N1" s="3" t="s">
        <v>39</v>
      </c>
      <c r="O1" s="3" t="s">
        <v>39</v>
      </c>
      <c r="P1" s="3" t="s">
        <v>39</v>
      </c>
      <c r="Q1" s="3" t="s">
        <v>39</v>
      </c>
      <c r="R1" s="3" t="s">
        <v>39</v>
      </c>
      <c r="S1" s="3" t="s">
        <v>39</v>
      </c>
      <c r="T1" s="3" t="s">
        <v>39</v>
      </c>
      <c r="U1" s="3" t="s">
        <v>39</v>
      </c>
      <c r="V1" s="3" t="s">
        <v>39</v>
      </c>
    </row>
    <row r="2" spans="1:22" x14ac:dyDescent="0.15">
      <c r="A2" s="2" t="s">
        <v>40</v>
      </c>
      <c r="B2" s="3" t="s">
        <v>39</v>
      </c>
      <c r="C2" s="3" t="s">
        <v>39</v>
      </c>
      <c r="D2" s="3" t="s">
        <v>39</v>
      </c>
      <c r="E2" s="3" t="s">
        <v>39</v>
      </c>
      <c r="F2" s="3" t="s">
        <v>39</v>
      </c>
      <c r="G2" s="3" t="s">
        <v>39</v>
      </c>
      <c r="H2" s="3" t="s">
        <v>39</v>
      </c>
      <c r="I2" s="3" t="s">
        <v>39</v>
      </c>
      <c r="J2" s="3" t="s">
        <v>39</v>
      </c>
      <c r="K2" s="3" t="s">
        <v>39</v>
      </c>
      <c r="L2" s="3" t="s">
        <v>39</v>
      </c>
      <c r="M2" s="3" t="s">
        <v>39</v>
      </c>
      <c r="N2" s="3" t="s">
        <v>39</v>
      </c>
      <c r="O2" s="3" t="s">
        <v>39</v>
      </c>
      <c r="P2" s="3" t="s">
        <v>39</v>
      </c>
      <c r="Q2" s="3" t="s">
        <v>39</v>
      </c>
      <c r="R2" s="3" t="s">
        <v>39</v>
      </c>
      <c r="S2" s="3" t="s">
        <v>39</v>
      </c>
      <c r="T2" s="3" t="s">
        <v>39</v>
      </c>
      <c r="U2" s="3" t="s">
        <v>39</v>
      </c>
      <c r="V2" s="3" t="s">
        <v>39</v>
      </c>
    </row>
    <row r="3" spans="1:22" ht="14.25" x14ac:dyDescent="0.15">
      <c r="A3" s="4" t="s">
        <v>39</v>
      </c>
      <c r="B3" s="4" t="s">
        <v>41</v>
      </c>
      <c r="C3" s="5" t="s">
        <v>42</v>
      </c>
      <c r="D3" s="5" t="s">
        <v>42</v>
      </c>
      <c r="E3" s="5" t="s">
        <v>42</v>
      </c>
      <c r="F3" s="5" t="s">
        <v>42</v>
      </c>
      <c r="G3" s="5" t="s">
        <v>42</v>
      </c>
      <c r="H3" s="5" t="s">
        <v>42</v>
      </c>
      <c r="I3" s="5" t="s">
        <v>42</v>
      </c>
      <c r="J3" s="5" t="s">
        <v>41</v>
      </c>
      <c r="K3" s="5" t="s">
        <v>41</v>
      </c>
      <c r="L3" s="5" t="s">
        <v>41</v>
      </c>
      <c r="M3" s="5" t="s">
        <v>41</v>
      </c>
      <c r="N3" s="5" t="s">
        <v>41</v>
      </c>
      <c r="O3" s="5" t="s">
        <v>42</v>
      </c>
      <c r="P3" s="5" t="s">
        <v>41</v>
      </c>
      <c r="Q3" s="5" t="s">
        <v>41</v>
      </c>
      <c r="R3" s="5" t="s">
        <v>41</v>
      </c>
      <c r="S3" s="5" t="s">
        <v>42</v>
      </c>
      <c r="T3" s="5" t="s">
        <v>41</v>
      </c>
      <c r="U3" s="5" t="s">
        <v>981</v>
      </c>
      <c r="V3" s="5" t="s">
        <v>989</v>
      </c>
    </row>
    <row r="4" spans="1:22" ht="14.25" x14ac:dyDescent="0.15">
      <c r="A4" s="4"/>
      <c r="B4" s="4" t="s">
        <v>43</v>
      </c>
      <c r="C4" s="4" t="s">
        <v>188</v>
      </c>
      <c r="D4" s="4" t="s">
        <v>44</v>
      </c>
      <c r="E4" s="4" t="s">
        <v>189</v>
      </c>
      <c r="F4" s="4" t="s">
        <v>190</v>
      </c>
      <c r="G4" s="4" t="s">
        <v>191</v>
      </c>
      <c r="H4" s="4" t="s">
        <v>192</v>
      </c>
      <c r="I4" s="4" t="s">
        <v>193</v>
      </c>
      <c r="J4" s="5" t="s">
        <v>194</v>
      </c>
      <c r="K4" s="5" t="s">
        <v>195</v>
      </c>
      <c r="L4" s="5" t="s">
        <v>196</v>
      </c>
      <c r="M4" s="5" t="s">
        <v>197</v>
      </c>
      <c r="N4" s="5" t="s">
        <v>198</v>
      </c>
      <c r="O4" s="5" t="s">
        <v>199</v>
      </c>
      <c r="P4" s="5" t="s">
        <v>200</v>
      </c>
      <c r="Q4" s="5" t="s">
        <v>201</v>
      </c>
      <c r="R4" s="5" t="s">
        <v>202</v>
      </c>
      <c r="S4" s="5" t="s">
        <v>203</v>
      </c>
      <c r="T4" s="5" t="s">
        <v>204</v>
      </c>
      <c r="U4" s="5" t="s">
        <v>982</v>
      </c>
      <c r="V4" s="5" t="s">
        <v>990</v>
      </c>
    </row>
    <row r="5" spans="1:22" ht="14.25" x14ac:dyDescent="0.15">
      <c r="A5" s="4"/>
      <c r="B5" s="4" t="str">
        <f>IF(B3="","",IF(B3="INT","i",IF(B3="FLOAT","f",IF(B3="STRING","s"))))</f>
        <v>i</v>
      </c>
      <c r="C5" s="5" t="s">
        <v>68</v>
      </c>
      <c r="D5" s="5" t="s">
        <v>68</v>
      </c>
      <c r="E5" s="5" t="s">
        <v>68</v>
      </c>
      <c r="F5" s="5" t="s">
        <v>68</v>
      </c>
      <c r="G5" s="5" t="s">
        <v>68</v>
      </c>
      <c r="H5" s="5" t="s">
        <v>68</v>
      </c>
      <c r="I5" s="5" t="s">
        <v>68</v>
      </c>
      <c r="J5" s="5" t="s">
        <v>67</v>
      </c>
      <c r="K5" s="5" t="s">
        <v>67</v>
      </c>
      <c r="L5" s="5" t="s">
        <v>67</v>
      </c>
      <c r="M5" s="5" t="s">
        <v>67</v>
      </c>
      <c r="N5" s="5" t="s">
        <v>67</v>
      </c>
      <c r="O5" s="5" t="s">
        <v>68</v>
      </c>
      <c r="P5" s="5" t="s">
        <v>67</v>
      </c>
      <c r="Q5" s="5" t="s">
        <v>67</v>
      </c>
      <c r="R5" s="5" t="s">
        <v>67</v>
      </c>
      <c r="S5" s="5" t="s">
        <v>68</v>
      </c>
      <c r="T5" s="5" t="s">
        <v>67</v>
      </c>
      <c r="U5" s="5" t="s">
        <v>67</v>
      </c>
      <c r="V5" s="5" t="s">
        <v>67</v>
      </c>
    </row>
    <row r="6" spans="1:22" ht="14.25" x14ac:dyDescent="0.15">
      <c r="A6" s="4" t="s">
        <v>39</v>
      </c>
      <c r="B6" s="4" t="str">
        <f t="shared" ref="B6:E6" si="0">B5&amp;B4</f>
        <v>iID</v>
      </c>
      <c r="C6" s="5" t="str">
        <f t="shared" si="0"/>
        <v>sRoomID</v>
      </c>
      <c r="D6" s="5" t="str">
        <f t="shared" si="0"/>
        <v>sNotes</v>
      </c>
      <c r="E6" s="5" t="str">
        <f t="shared" si="0"/>
        <v>sAttributes</v>
      </c>
      <c r="F6" s="5" t="str">
        <f t="shared" ref="F6:Q6" si="1">F5&amp;F4</f>
        <v>sMapAttributes</v>
      </c>
      <c r="G6" s="5" t="str">
        <f t="shared" si="1"/>
        <v>sStandardDefence</v>
      </c>
      <c r="H6" s="5" t="str">
        <f t="shared" si="1"/>
        <v>sRoomIDs</v>
      </c>
      <c r="I6" s="5" t="str">
        <f t="shared" si="1"/>
        <v>sRoomIDs1</v>
      </c>
      <c r="J6" s="5" t="str">
        <f t="shared" si="1"/>
        <v>iCheatValue</v>
      </c>
      <c r="K6" s="5" t="str">
        <f t="shared" si="1"/>
        <v>iBattleValue</v>
      </c>
      <c r="L6" s="5" t="str">
        <f t="shared" si="1"/>
        <v>iGoldAdd</v>
      </c>
      <c r="M6" s="5" t="str">
        <f t="shared" si="1"/>
        <v>iExpAdd</v>
      </c>
      <c r="N6" s="5" t="str">
        <f t="shared" si="1"/>
        <v>iAwardHero</v>
      </c>
      <c r="O6" s="5" t="str">
        <f t="shared" si="1"/>
        <v>sOutPut</v>
      </c>
      <c r="P6" s="5" t="str">
        <f t="shared" si="1"/>
        <v>iDropCount</v>
      </c>
      <c r="Q6" s="5" t="str">
        <f t="shared" si="1"/>
        <v>iCatchTime</v>
      </c>
      <c r="R6" s="5" t="str">
        <f t="shared" ref="R6:S6" si="2">R5&amp;R4</f>
        <v>iCatchProb</v>
      </c>
      <c r="S6" s="5" t="str">
        <f t="shared" si="2"/>
        <v>sFirstOutPut</v>
      </c>
      <c r="T6" s="5" t="str">
        <f t="shared" ref="T6:V6" si="3">T5&amp;T4</f>
        <v>iFirstExpAdd</v>
      </c>
      <c r="U6" s="5" t="str">
        <f t="shared" si="3"/>
        <v>iFirstGoldAdd</v>
      </c>
      <c r="V6" s="5" t="str">
        <f t="shared" si="3"/>
        <v>iMonsLv</v>
      </c>
    </row>
    <row r="7" spans="1:22" ht="14.25" x14ac:dyDescent="0.15">
      <c r="A7" s="4"/>
      <c r="B7" s="4" t="s">
        <v>206</v>
      </c>
      <c r="C7" s="6"/>
      <c r="D7" s="6"/>
      <c r="E7" s="6"/>
      <c r="F7" s="6"/>
      <c r="G7" s="6"/>
      <c r="H7" s="6"/>
      <c r="I7" s="6"/>
      <c r="J7" s="6" t="s">
        <v>213</v>
      </c>
      <c r="K7" s="6" t="s">
        <v>214</v>
      </c>
      <c r="L7" s="6" t="s">
        <v>215</v>
      </c>
      <c r="M7" s="6" t="s">
        <v>216</v>
      </c>
      <c r="N7" s="6" t="s">
        <v>217</v>
      </c>
      <c r="O7" s="6" t="s">
        <v>218</v>
      </c>
      <c r="P7" s="6" t="s">
        <v>219</v>
      </c>
      <c r="Q7" s="6" t="s">
        <v>220</v>
      </c>
      <c r="R7" s="6" t="s">
        <v>221</v>
      </c>
      <c r="S7" s="6" t="s">
        <v>222</v>
      </c>
      <c r="T7" s="6" t="s">
        <v>223</v>
      </c>
      <c r="U7" s="6" t="s">
        <v>984</v>
      </c>
      <c r="V7" s="6" t="s">
        <v>991</v>
      </c>
    </row>
    <row r="8" spans="1:22" ht="14.25" x14ac:dyDescent="0.15">
      <c r="A8" s="4" t="s">
        <v>78</v>
      </c>
      <c r="B8" s="4">
        <v>0</v>
      </c>
      <c r="C8" s="6">
        <v>0</v>
      </c>
      <c r="D8" s="6"/>
      <c r="E8" s="6"/>
      <c r="F8" s="6"/>
      <c r="G8" s="6"/>
      <c r="H8" s="6"/>
      <c r="I8" s="6"/>
      <c r="J8" s="6">
        <v>10000</v>
      </c>
      <c r="K8" s="6">
        <v>10000</v>
      </c>
      <c r="L8" s="6">
        <v>0</v>
      </c>
      <c r="M8" s="6">
        <v>0</v>
      </c>
      <c r="N8" s="6"/>
      <c r="O8" s="6"/>
      <c r="P8" s="6">
        <v>0</v>
      </c>
      <c r="Q8" s="6">
        <v>0</v>
      </c>
      <c r="R8" s="6">
        <v>0</v>
      </c>
      <c r="S8" s="6"/>
      <c r="T8" s="6">
        <v>0</v>
      </c>
      <c r="U8" s="6">
        <v>0</v>
      </c>
      <c r="V8" s="6">
        <v>1</v>
      </c>
    </row>
    <row r="9" spans="1:22" ht="14.25" x14ac:dyDescent="0.15">
      <c r="A9" s="7"/>
      <c r="B9" s="7"/>
      <c r="C9" s="8"/>
      <c r="D9" s="8"/>
      <c r="E9" s="9"/>
      <c r="F9" s="8"/>
      <c r="G9" s="8"/>
      <c r="H9" s="8"/>
      <c r="I9" s="8"/>
      <c r="J9" s="8" t="s">
        <v>224</v>
      </c>
      <c r="K9" s="8" t="s">
        <v>224</v>
      </c>
      <c r="L9" s="8"/>
      <c r="M9" s="8"/>
      <c r="N9" s="8"/>
      <c r="O9" s="8" t="s">
        <v>225</v>
      </c>
      <c r="Q9" s="8" t="s">
        <v>284</v>
      </c>
      <c r="R9" s="8" t="s">
        <v>227</v>
      </c>
      <c r="S9" s="8" t="s">
        <v>225</v>
      </c>
      <c r="T9" s="8"/>
    </row>
    <row r="10" spans="1:22" ht="24" x14ac:dyDescent="0.15">
      <c r="A10" s="1" t="s">
        <v>39</v>
      </c>
      <c r="B10" s="10">
        <v>1</v>
      </c>
      <c r="C10" s="11" t="s">
        <v>535</v>
      </c>
      <c r="D10" s="12"/>
      <c r="E10" s="11" t="s">
        <v>1168</v>
      </c>
      <c r="F10" s="11" t="s">
        <v>536</v>
      </c>
      <c r="G10" s="11" t="s">
        <v>86</v>
      </c>
      <c r="H10" s="11" t="s">
        <v>1206</v>
      </c>
      <c r="I10" s="12"/>
      <c r="L10">
        <v>46</v>
      </c>
      <c r="M10">
        <v>46</v>
      </c>
      <c r="O10" t="s">
        <v>1185</v>
      </c>
      <c r="P10">
        <v>5</v>
      </c>
      <c r="S10" t="s">
        <v>1185</v>
      </c>
      <c r="T10">
        <v>46</v>
      </c>
      <c r="U10">
        <v>46</v>
      </c>
    </row>
    <row r="11" spans="1:22" ht="24" x14ac:dyDescent="0.15">
      <c r="A11" s="1" t="s">
        <v>39</v>
      </c>
      <c r="B11" s="10">
        <v>2</v>
      </c>
      <c r="C11" s="11" t="s">
        <v>538</v>
      </c>
      <c r="D11" s="12"/>
      <c r="E11" s="11" t="s">
        <v>1168</v>
      </c>
      <c r="F11" s="11" t="s">
        <v>536</v>
      </c>
      <c r="G11" s="11" t="s">
        <v>86</v>
      </c>
      <c r="H11" s="11" t="s">
        <v>1206</v>
      </c>
      <c r="I11" s="12"/>
      <c r="L11">
        <v>46</v>
      </c>
      <c r="M11">
        <v>46</v>
      </c>
      <c r="O11" t="s">
        <v>1185</v>
      </c>
      <c r="P11">
        <v>5</v>
      </c>
      <c r="S11" t="s">
        <v>1185</v>
      </c>
      <c r="T11">
        <v>46</v>
      </c>
      <c r="U11">
        <v>46</v>
      </c>
    </row>
    <row r="12" spans="1:22" ht="24" x14ac:dyDescent="0.15">
      <c r="A12" s="1" t="s">
        <v>39</v>
      </c>
      <c r="B12" s="10">
        <v>3</v>
      </c>
      <c r="C12" s="11" t="s">
        <v>540</v>
      </c>
      <c r="D12" s="12"/>
      <c r="E12" s="11" t="s">
        <v>1168</v>
      </c>
      <c r="F12" s="11" t="s">
        <v>536</v>
      </c>
      <c r="G12" s="11" t="s">
        <v>86</v>
      </c>
      <c r="H12" s="11" t="s">
        <v>1205</v>
      </c>
      <c r="I12" s="12"/>
      <c r="L12">
        <v>46</v>
      </c>
      <c r="M12">
        <v>46</v>
      </c>
      <c r="O12" t="s">
        <v>1185</v>
      </c>
      <c r="P12">
        <v>5</v>
      </c>
      <c r="S12" t="s">
        <v>1185</v>
      </c>
      <c r="T12">
        <v>46</v>
      </c>
      <c r="U12">
        <v>46</v>
      </c>
    </row>
    <row r="13" spans="1:22" ht="24" x14ac:dyDescent="0.15">
      <c r="A13" s="1" t="s">
        <v>39</v>
      </c>
      <c r="B13" s="10">
        <v>4</v>
      </c>
      <c r="C13" s="11" t="s">
        <v>542</v>
      </c>
      <c r="D13" s="12"/>
      <c r="E13" s="11" t="s">
        <v>1168</v>
      </c>
      <c r="F13" s="11" t="s">
        <v>536</v>
      </c>
      <c r="G13" s="11" t="s">
        <v>86</v>
      </c>
      <c r="H13" s="11" t="s">
        <v>1204</v>
      </c>
      <c r="I13" s="11"/>
      <c r="L13">
        <v>46</v>
      </c>
      <c r="M13">
        <v>46</v>
      </c>
      <c r="O13" t="s">
        <v>1185</v>
      </c>
      <c r="P13">
        <v>5</v>
      </c>
      <c r="S13" t="s">
        <v>1185</v>
      </c>
      <c r="T13">
        <v>46</v>
      </c>
      <c r="U13">
        <v>46</v>
      </c>
    </row>
    <row r="14" spans="1:22" ht="24" x14ac:dyDescent="0.15">
      <c r="A14" s="1" t="s">
        <v>39</v>
      </c>
      <c r="B14" s="10">
        <v>5</v>
      </c>
      <c r="C14" s="11" t="s">
        <v>544</v>
      </c>
      <c r="D14" s="12"/>
      <c r="E14" s="11" t="s">
        <v>1168</v>
      </c>
      <c r="F14" s="11" t="s">
        <v>536</v>
      </c>
      <c r="G14" s="11" t="s">
        <v>86</v>
      </c>
      <c r="H14" s="11" t="s">
        <v>1178</v>
      </c>
      <c r="I14" s="12"/>
    </row>
    <row r="15" spans="1:22" ht="24" x14ac:dyDescent="0.15">
      <c r="A15" s="1" t="s">
        <v>39</v>
      </c>
      <c r="B15" s="10">
        <v>6</v>
      </c>
      <c r="C15" s="11" t="s">
        <v>545</v>
      </c>
      <c r="D15" s="12"/>
      <c r="E15" s="11" t="s">
        <v>1169</v>
      </c>
      <c r="F15" s="11" t="s">
        <v>536</v>
      </c>
      <c r="G15" s="11" t="s">
        <v>86</v>
      </c>
      <c r="H15" s="11" t="s">
        <v>1252</v>
      </c>
      <c r="I15" s="12"/>
      <c r="L15">
        <v>46</v>
      </c>
      <c r="M15">
        <v>46</v>
      </c>
      <c r="O15" t="s">
        <v>1185</v>
      </c>
      <c r="P15">
        <v>5</v>
      </c>
      <c r="S15" t="s">
        <v>1185</v>
      </c>
      <c r="T15">
        <v>46</v>
      </c>
      <c r="U15">
        <v>46</v>
      </c>
    </row>
    <row r="16" spans="1:22" ht="24" x14ac:dyDescent="0.15">
      <c r="A16" s="1" t="s">
        <v>39</v>
      </c>
      <c r="B16" s="10">
        <v>7</v>
      </c>
      <c r="C16" s="11" t="s">
        <v>547</v>
      </c>
      <c r="D16" s="12"/>
      <c r="E16" s="11" t="s">
        <v>1169</v>
      </c>
      <c r="F16" s="11" t="s">
        <v>536</v>
      </c>
      <c r="G16" s="11" t="s">
        <v>86</v>
      </c>
      <c r="H16" s="11" t="s">
        <v>1252</v>
      </c>
      <c r="I16" s="11"/>
      <c r="L16">
        <v>46</v>
      </c>
      <c r="M16">
        <v>46</v>
      </c>
      <c r="O16" t="s">
        <v>1185</v>
      </c>
      <c r="P16">
        <v>5</v>
      </c>
      <c r="S16" t="s">
        <v>1185</v>
      </c>
      <c r="T16">
        <v>46</v>
      </c>
      <c r="U16">
        <v>46</v>
      </c>
    </row>
    <row r="17" spans="1:21" ht="24" x14ac:dyDescent="0.15">
      <c r="A17" s="1" t="s">
        <v>39</v>
      </c>
      <c r="B17" s="10">
        <v>8</v>
      </c>
      <c r="C17" s="11" t="s">
        <v>550</v>
      </c>
      <c r="D17" s="12"/>
      <c r="E17" s="11" t="s">
        <v>1169</v>
      </c>
      <c r="F17" s="11" t="s">
        <v>536</v>
      </c>
      <c r="G17" s="11" t="s">
        <v>86</v>
      </c>
      <c r="H17" s="11" t="s">
        <v>1252</v>
      </c>
      <c r="I17" s="12"/>
      <c r="L17">
        <v>46</v>
      </c>
      <c r="M17">
        <v>46</v>
      </c>
      <c r="O17" t="s">
        <v>1185</v>
      </c>
      <c r="P17">
        <v>5</v>
      </c>
      <c r="S17" t="s">
        <v>1185</v>
      </c>
      <c r="T17">
        <v>46</v>
      </c>
      <c r="U17">
        <v>46</v>
      </c>
    </row>
    <row r="18" spans="1:21" ht="24" x14ac:dyDescent="0.15">
      <c r="A18" s="1" t="s">
        <v>39</v>
      </c>
      <c r="B18" s="10">
        <v>9</v>
      </c>
      <c r="C18" s="11" t="s">
        <v>551</v>
      </c>
      <c r="D18" s="12"/>
      <c r="E18" s="11" t="s">
        <v>1169</v>
      </c>
      <c r="F18" s="11" t="s">
        <v>536</v>
      </c>
      <c r="G18" s="11" t="s">
        <v>86</v>
      </c>
      <c r="H18" s="11" t="s">
        <v>1196</v>
      </c>
      <c r="I18" s="11"/>
      <c r="L18">
        <v>46</v>
      </c>
      <c r="M18">
        <v>46</v>
      </c>
      <c r="O18" t="s">
        <v>1185</v>
      </c>
      <c r="P18">
        <v>5</v>
      </c>
      <c r="S18" t="s">
        <v>1185</v>
      </c>
      <c r="T18">
        <v>46</v>
      </c>
      <c r="U18">
        <v>46</v>
      </c>
    </row>
    <row r="19" spans="1:21" ht="24" x14ac:dyDescent="0.15">
      <c r="A19" s="1" t="s">
        <v>39</v>
      </c>
      <c r="B19" s="10">
        <v>10</v>
      </c>
      <c r="C19" s="11" t="s">
        <v>554</v>
      </c>
      <c r="D19" s="12"/>
      <c r="E19" s="11" t="s">
        <v>1169</v>
      </c>
      <c r="F19" s="11" t="s">
        <v>536</v>
      </c>
      <c r="G19" s="11" t="s">
        <v>86</v>
      </c>
      <c r="H19" s="19" t="s">
        <v>1190</v>
      </c>
      <c r="I19" s="12"/>
      <c r="L19">
        <v>184</v>
      </c>
      <c r="M19">
        <v>184</v>
      </c>
      <c r="O19" t="s">
        <v>1186</v>
      </c>
      <c r="P19">
        <v>1</v>
      </c>
      <c r="Q19">
        <v>35</v>
      </c>
      <c r="R19">
        <v>2000</v>
      </c>
      <c r="S19" t="s">
        <v>1186</v>
      </c>
      <c r="T19">
        <v>184</v>
      </c>
      <c r="U19">
        <v>184</v>
      </c>
    </row>
    <row r="20" spans="1:21" ht="24" x14ac:dyDescent="0.15">
      <c r="A20" s="1" t="s">
        <v>39</v>
      </c>
      <c r="B20" s="10">
        <v>11</v>
      </c>
      <c r="C20" s="11" t="s">
        <v>555</v>
      </c>
      <c r="D20" s="12"/>
      <c r="E20" s="11" t="s">
        <v>1170</v>
      </c>
      <c r="F20" s="11" t="s">
        <v>536</v>
      </c>
      <c r="G20" s="11" t="s">
        <v>86</v>
      </c>
      <c r="H20" s="11" t="s">
        <v>1207</v>
      </c>
      <c r="I20" s="11"/>
      <c r="L20">
        <v>46</v>
      </c>
      <c r="M20">
        <v>46</v>
      </c>
      <c r="O20" t="s">
        <v>1185</v>
      </c>
      <c r="P20">
        <v>5</v>
      </c>
      <c r="S20" t="s">
        <v>1185</v>
      </c>
      <c r="T20">
        <v>46</v>
      </c>
      <c r="U20">
        <v>46</v>
      </c>
    </row>
    <row r="21" spans="1:21" ht="24" x14ac:dyDescent="0.15">
      <c r="A21" s="1" t="s">
        <v>39</v>
      </c>
      <c r="B21" s="10">
        <v>12</v>
      </c>
      <c r="C21" s="11" t="s">
        <v>558</v>
      </c>
      <c r="D21" s="12"/>
      <c r="E21" s="11" t="s">
        <v>1170</v>
      </c>
      <c r="F21" s="11" t="s">
        <v>536</v>
      </c>
      <c r="G21" s="11" t="s">
        <v>86</v>
      </c>
      <c r="H21" s="11" t="s">
        <v>1207</v>
      </c>
      <c r="I21" s="12"/>
      <c r="L21">
        <v>46</v>
      </c>
      <c r="M21">
        <v>46</v>
      </c>
      <c r="O21" t="s">
        <v>1185</v>
      </c>
      <c r="P21">
        <v>5</v>
      </c>
      <c r="S21" t="s">
        <v>1185</v>
      </c>
      <c r="T21">
        <v>46</v>
      </c>
      <c r="U21">
        <v>46</v>
      </c>
    </row>
    <row r="22" spans="1:21" ht="24" x14ac:dyDescent="0.15">
      <c r="A22" s="1" t="s">
        <v>39</v>
      </c>
      <c r="B22" s="10">
        <v>13</v>
      </c>
      <c r="C22" s="11" t="s">
        <v>559</v>
      </c>
      <c r="D22" s="12"/>
      <c r="E22" s="11" t="s">
        <v>1170</v>
      </c>
      <c r="F22" s="11" t="s">
        <v>536</v>
      </c>
      <c r="G22" s="11" t="s">
        <v>86</v>
      </c>
      <c r="H22" s="11" t="s">
        <v>1191</v>
      </c>
      <c r="I22" s="12"/>
      <c r="L22">
        <v>46</v>
      </c>
      <c r="M22">
        <v>46</v>
      </c>
      <c r="O22" t="s">
        <v>1185</v>
      </c>
      <c r="P22">
        <v>5</v>
      </c>
      <c r="S22" t="s">
        <v>1185</v>
      </c>
      <c r="T22">
        <v>46</v>
      </c>
      <c r="U22">
        <v>46</v>
      </c>
    </row>
    <row r="23" spans="1:21" ht="24" x14ac:dyDescent="0.15">
      <c r="A23" s="1" t="s">
        <v>39</v>
      </c>
      <c r="B23" s="10">
        <v>14</v>
      </c>
      <c r="C23" s="11" t="s">
        <v>560</v>
      </c>
      <c r="D23" s="12"/>
      <c r="E23" s="11" t="s">
        <v>1170</v>
      </c>
      <c r="F23" s="11" t="s">
        <v>536</v>
      </c>
      <c r="G23" s="11" t="s">
        <v>86</v>
      </c>
      <c r="H23" s="11" t="s">
        <v>1191</v>
      </c>
      <c r="I23" s="12"/>
      <c r="L23">
        <v>46</v>
      </c>
      <c r="M23">
        <v>46</v>
      </c>
      <c r="O23" t="s">
        <v>1185</v>
      </c>
      <c r="P23">
        <v>5</v>
      </c>
      <c r="S23" t="s">
        <v>1185</v>
      </c>
      <c r="T23">
        <v>46</v>
      </c>
      <c r="U23">
        <v>46</v>
      </c>
    </row>
    <row r="24" spans="1:21" ht="24" x14ac:dyDescent="0.15">
      <c r="A24" s="1" t="s">
        <v>39</v>
      </c>
      <c r="B24" s="10">
        <v>15</v>
      </c>
      <c r="C24" s="11" t="s">
        <v>561</v>
      </c>
      <c r="D24" s="12"/>
      <c r="E24" s="11" t="s">
        <v>1170</v>
      </c>
      <c r="F24" s="11" t="s">
        <v>536</v>
      </c>
      <c r="G24" s="11" t="s">
        <v>86</v>
      </c>
      <c r="H24" s="11" t="s">
        <v>1178</v>
      </c>
      <c r="I24" s="12"/>
    </row>
    <row r="25" spans="1:21" ht="24" x14ac:dyDescent="0.15">
      <c r="A25" s="1" t="s">
        <v>39</v>
      </c>
      <c r="B25" s="10">
        <v>16</v>
      </c>
      <c r="C25" s="11" t="s">
        <v>562</v>
      </c>
      <c r="D25" s="12"/>
      <c r="E25" s="11" t="s">
        <v>1171</v>
      </c>
      <c r="F25" s="11" t="s">
        <v>563</v>
      </c>
      <c r="G25" s="11" t="s">
        <v>86</v>
      </c>
      <c r="H25" s="11" t="s">
        <v>1209</v>
      </c>
      <c r="I25" s="11"/>
      <c r="L25">
        <v>46</v>
      </c>
      <c r="M25">
        <v>46</v>
      </c>
      <c r="O25" t="s">
        <v>1185</v>
      </c>
      <c r="P25">
        <v>5</v>
      </c>
      <c r="S25" t="s">
        <v>1185</v>
      </c>
      <c r="T25">
        <v>46</v>
      </c>
      <c r="U25">
        <v>46</v>
      </c>
    </row>
    <row r="26" spans="1:21" ht="24" x14ac:dyDescent="0.15">
      <c r="A26" s="1" t="s">
        <v>39</v>
      </c>
      <c r="B26" s="10">
        <v>17</v>
      </c>
      <c r="C26" s="11" t="s">
        <v>566</v>
      </c>
      <c r="D26" s="12"/>
      <c r="E26" s="11" t="s">
        <v>1171</v>
      </c>
      <c r="F26" s="11" t="s">
        <v>563</v>
      </c>
      <c r="G26" s="11" t="s">
        <v>86</v>
      </c>
      <c r="H26" s="11" t="s">
        <v>1208</v>
      </c>
      <c r="I26" s="12"/>
      <c r="L26">
        <v>46</v>
      </c>
      <c r="M26">
        <v>46</v>
      </c>
      <c r="O26" t="s">
        <v>1185</v>
      </c>
      <c r="P26">
        <v>5</v>
      </c>
      <c r="S26" t="s">
        <v>1185</v>
      </c>
      <c r="T26">
        <v>46</v>
      </c>
      <c r="U26">
        <v>46</v>
      </c>
    </row>
    <row r="27" spans="1:21" ht="24" x14ac:dyDescent="0.15">
      <c r="A27" s="1" t="s">
        <v>39</v>
      </c>
      <c r="B27" s="10">
        <v>18</v>
      </c>
      <c r="C27" s="11" t="s">
        <v>567</v>
      </c>
      <c r="D27" s="12"/>
      <c r="E27" s="11" t="s">
        <v>1171</v>
      </c>
      <c r="F27" s="11" t="s">
        <v>563</v>
      </c>
      <c r="G27" s="11" t="s">
        <v>86</v>
      </c>
      <c r="H27" s="11" t="s">
        <v>1192</v>
      </c>
      <c r="I27" s="12"/>
      <c r="L27">
        <v>46</v>
      </c>
      <c r="M27">
        <v>46</v>
      </c>
      <c r="O27" t="s">
        <v>1185</v>
      </c>
      <c r="P27">
        <v>5</v>
      </c>
      <c r="S27" t="s">
        <v>1185</v>
      </c>
      <c r="T27">
        <v>46</v>
      </c>
      <c r="U27">
        <v>46</v>
      </c>
    </row>
    <row r="28" spans="1:21" ht="24" x14ac:dyDescent="0.15">
      <c r="A28" s="1" t="s">
        <v>39</v>
      </c>
      <c r="B28" s="10">
        <v>19</v>
      </c>
      <c r="C28" s="11" t="s">
        <v>568</v>
      </c>
      <c r="D28" s="12"/>
      <c r="E28" s="11" t="s">
        <v>1171</v>
      </c>
      <c r="F28" s="11" t="s">
        <v>563</v>
      </c>
      <c r="G28" s="11" t="s">
        <v>86</v>
      </c>
      <c r="H28" s="11" t="s">
        <v>1197</v>
      </c>
      <c r="I28" s="12"/>
      <c r="L28">
        <v>46</v>
      </c>
      <c r="M28">
        <v>46</v>
      </c>
      <c r="O28" t="s">
        <v>1185</v>
      </c>
      <c r="P28">
        <v>5</v>
      </c>
      <c r="S28" t="s">
        <v>1185</v>
      </c>
      <c r="T28">
        <v>46</v>
      </c>
      <c r="U28">
        <v>46</v>
      </c>
    </row>
    <row r="29" spans="1:21" ht="24" x14ac:dyDescent="0.15">
      <c r="A29" s="1" t="s">
        <v>39</v>
      </c>
      <c r="B29" s="10">
        <v>20</v>
      </c>
      <c r="C29" s="11" t="s">
        <v>570</v>
      </c>
      <c r="D29" s="12"/>
      <c r="E29" s="11" t="s">
        <v>1171</v>
      </c>
      <c r="F29" s="11" t="s">
        <v>563</v>
      </c>
      <c r="G29" s="11" t="s">
        <v>86</v>
      </c>
      <c r="H29" s="19" t="s">
        <v>1190</v>
      </c>
      <c r="I29" s="12"/>
      <c r="L29">
        <v>184</v>
      </c>
      <c r="M29">
        <v>184</v>
      </c>
      <c r="O29" t="s">
        <v>1187</v>
      </c>
      <c r="P29">
        <v>1</v>
      </c>
      <c r="Q29">
        <v>35</v>
      </c>
      <c r="R29">
        <v>2000</v>
      </c>
      <c r="S29" t="s">
        <v>1187</v>
      </c>
      <c r="T29">
        <v>184</v>
      </c>
      <c r="U29">
        <v>184</v>
      </c>
    </row>
    <row r="30" spans="1:21" ht="24" x14ac:dyDescent="0.15">
      <c r="A30" s="1" t="s">
        <v>39</v>
      </c>
      <c r="B30" s="10">
        <v>21</v>
      </c>
      <c r="C30" s="11" t="s">
        <v>571</v>
      </c>
      <c r="D30" s="12"/>
      <c r="E30" s="11" t="s">
        <v>1172</v>
      </c>
      <c r="F30" s="11" t="s">
        <v>563</v>
      </c>
      <c r="G30" s="11" t="s">
        <v>86</v>
      </c>
      <c r="H30" s="11" t="s">
        <v>1210</v>
      </c>
      <c r="I30" s="11"/>
      <c r="L30">
        <v>46</v>
      </c>
      <c r="M30">
        <v>46</v>
      </c>
      <c r="O30" t="s">
        <v>1185</v>
      </c>
      <c r="P30">
        <v>5</v>
      </c>
      <c r="S30" t="s">
        <v>1185</v>
      </c>
      <c r="T30">
        <v>46</v>
      </c>
      <c r="U30">
        <v>46</v>
      </c>
    </row>
    <row r="31" spans="1:21" ht="24" x14ac:dyDescent="0.15">
      <c r="A31" s="1" t="s">
        <v>39</v>
      </c>
      <c r="B31" s="10">
        <v>22</v>
      </c>
      <c r="C31" s="11" t="s">
        <v>574</v>
      </c>
      <c r="D31" s="12"/>
      <c r="E31" s="11" t="s">
        <v>1172</v>
      </c>
      <c r="F31" s="11" t="s">
        <v>563</v>
      </c>
      <c r="G31" s="11" t="s">
        <v>86</v>
      </c>
      <c r="H31" s="11" t="s">
        <v>1211</v>
      </c>
      <c r="I31" s="12"/>
      <c r="L31">
        <v>46</v>
      </c>
      <c r="M31">
        <v>46</v>
      </c>
      <c r="O31" t="s">
        <v>1185</v>
      </c>
      <c r="P31">
        <v>5</v>
      </c>
      <c r="S31" t="s">
        <v>1185</v>
      </c>
      <c r="T31">
        <v>46</v>
      </c>
      <c r="U31">
        <v>46</v>
      </c>
    </row>
    <row r="32" spans="1:21" ht="24" x14ac:dyDescent="0.15">
      <c r="A32" s="1" t="s">
        <v>39</v>
      </c>
      <c r="B32" s="10">
        <v>23</v>
      </c>
      <c r="C32" s="11" t="s">
        <v>575</v>
      </c>
      <c r="D32" s="12"/>
      <c r="E32" s="11" t="s">
        <v>1172</v>
      </c>
      <c r="F32" s="11" t="s">
        <v>563</v>
      </c>
      <c r="G32" s="11" t="s">
        <v>86</v>
      </c>
      <c r="H32" s="11" t="s">
        <v>1212</v>
      </c>
      <c r="I32" s="12"/>
      <c r="L32">
        <v>46</v>
      </c>
      <c r="M32">
        <v>46</v>
      </c>
      <c r="O32" t="s">
        <v>1185</v>
      </c>
      <c r="P32">
        <v>5</v>
      </c>
      <c r="S32" t="s">
        <v>1185</v>
      </c>
      <c r="T32">
        <v>46</v>
      </c>
      <c r="U32">
        <v>46</v>
      </c>
    </row>
    <row r="33" spans="1:21" ht="24" x14ac:dyDescent="0.15">
      <c r="A33" s="1" t="s">
        <v>39</v>
      </c>
      <c r="B33" s="10">
        <v>24</v>
      </c>
      <c r="C33" s="11" t="s">
        <v>577</v>
      </c>
      <c r="D33" s="12"/>
      <c r="E33" s="11" t="s">
        <v>1172</v>
      </c>
      <c r="F33" s="11" t="s">
        <v>563</v>
      </c>
      <c r="G33" s="11" t="s">
        <v>86</v>
      </c>
      <c r="H33" s="11" t="s">
        <v>1213</v>
      </c>
      <c r="I33" s="12"/>
      <c r="L33">
        <v>46</v>
      </c>
      <c r="M33">
        <v>46</v>
      </c>
      <c r="O33" t="s">
        <v>1185</v>
      </c>
      <c r="P33">
        <v>5</v>
      </c>
      <c r="S33" t="s">
        <v>1185</v>
      </c>
      <c r="T33">
        <v>46</v>
      </c>
      <c r="U33">
        <v>46</v>
      </c>
    </row>
    <row r="34" spans="1:21" ht="24" x14ac:dyDescent="0.15">
      <c r="A34" s="1" t="s">
        <v>39</v>
      </c>
      <c r="B34" s="10">
        <v>25</v>
      </c>
      <c r="C34" s="11" t="s">
        <v>578</v>
      </c>
      <c r="D34" s="12"/>
      <c r="E34" s="11" t="s">
        <v>1172</v>
      </c>
      <c r="F34" s="11" t="s">
        <v>563</v>
      </c>
      <c r="G34" s="11" t="s">
        <v>86</v>
      </c>
      <c r="H34" s="11" t="s">
        <v>1215</v>
      </c>
      <c r="I34" s="12"/>
    </row>
    <row r="35" spans="1:21" ht="24" x14ac:dyDescent="0.15">
      <c r="A35" s="1" t="s">
        <v>39</v>
      </c>
      <c r="B35" s="10">
        <v>26</v>
      </c>
      <c r="C35" s="11" t="s">
        <v>579</v>
      </c>
      <c r="D35" s="12"/>
      <c r="E35" s="11" t="s">
        <v>1173</v>
      </c>
      <c r="F35" s="11" t="s">
        <v>563</v>
      </c>
      <c r="G35" s="11" t="s">
        <v>86</v>
      </c>
      <c r="H35" s="11" t="s">
        <v>1216</v>
      </c>
      <c r="I35" s="12"/>
      <c r="L35">
        <v>46</v>
      </c>
      <c r="M35">
        <v>46</v>
      </c>
      <c r="O35" t="s">
        <v>1185</v>
      </c>
      <c r="P35">
        <v>5</v>
      </c>
      <c r="S35" t="s">
        <v>1185</v>
      </c>
      <c r="T35">
        <v>46</v>
      </c>
      <c r="U35">
        <v>46</v>
      </c>
    </row>
    <row r="36" spans="1:21" ht="24" x14ac:dyDescent="0.15">
      <c r="A36" s="1" t="s">
        <v>39</v>
      </c>
      <c r="B36" s="10">
        <v>27</v>
      </c>
      <c r="C36" s="11" t="s">
        <v>581</v>
      </c>
      <c r="D36" s="12"/>
      <c r="E36" s="11" t="s">
        <v>1173</v>
      </c>
      <c r="F36" s="11" t="s">
        <v>563</v>
      </c>
      <c r="G36" s="11" t="s">
        <v>86</v>
      </c>
      <c r="H36" s="11" t="s">
        <v>1217</v>
      </c>
      <c r="I36" s="12"/>
      <c r="L36">
        <v>46</v>
      </c>
      <c r="M36">
        <v>46</v>
      </c>
      <c r="O36" t="s">
        <v>1185</v>
      </c>
      <c r="P36">
        <v>5</v>
      </c>
      <c r="S36" t="s">
        <v>1185</v>
      </c>
      <c r="T36">
        <v>46</v>
      </c>
      <c r="U36">
        <v>46</v>
      </c>
    </row>
    <row r="37" spans="1:21" ht="24" x14ac:dyDescent="0.15">
      <c r="A37" s="1" t="s">
        <v>39</v>
      </c>
      <c r="B37" s="10">
        <v>28</v>
      </c>
      <c r="C37" s="11" t="s">
        <v>582</v>
      </c>
      <c r="D37" s="12"/>
      <c r="E37" s="11" t="s">
        <v>1173</v>
      </c>
      <c r="F37" s="11" t="s">
        <v>563</v>
      </c>
      <c r="G37" s="11" t="s">
        <v>86</v>
      </c>
      <c r="H37" s="11" t="s">
        <v>1214</v>
      </c>
      <c r="I37" s="12"/>
      <c r="L37">
        <v>46</v>
      </c>
      <c r="M37">
        <v>46</v>
      </c>
      <c r="O37" t="s">
        <v>1185</v>
      </c>
      <c r="P37">
        <v>5</v>
      </c>
      <c r="S37" t="s">
        <v>1185</v>
      </c>
      <c r="T37">
        <v>46</v>
      </c>
      <c r="U37">
        <v>46</v>
      </c>
    </row>
    <row r="38" spans="1:21" ht="24" x14ac:dyDescent="0.15">
      <c r="A38" s="1" t="s">
        <v>39</v>
      </c>
      <c r="B38" s="10">
        <v>29</v>
      </c>
      <c r="C38" s="11" t="s">
        <v>583</v>
      </c>
      <c r="D38" s="12"/>
      <c r="E38" s="11" t="s">
        <v>1173</v>
      </c>
      <c r="F38" s="11" t="s">
        <v>563</v>
      </c>
      <c r="G38" s="11" t="s">
        <v>86</v>
      </c>
      <c r="H38" s="11" t="s">
        <v>1198</v>
      </c>
      <c r="I38" s="12"/>
      <c r="L38">
        <v>46</v>
      </c>
      <c r="M38">
        <v>46</v>
      </c>
      <c r="O38" t="s">
        <v>1185</v>
      </c>
      <c r="P38">
        <v>5</v>
      </c>
      <c r="S38" t="s">
        <v>1185</v>
      </c>
      <c r="T38">
        <v>46</v>
      </c>
      <c r="U38">
        <v>46</v>
      </c>
    </row>
    <row r="39" spans="1:21" ht="24" x14ac:dyDescent="0.15">
      <c r="A39" s="1" t="s">
        <v>39</v>
      </c>
      <c r="B39" s="10">
        <v>30</v>
      </c>
      <c r="C39" s="11" t="s">
        <v>585</v>
      </c>
      <c r="D39" s="12"/>
      <c r="E39" s="11" t="s">
        <v>1173</v>
      </c>
      <c r="F39" s="11" t="s">
        <v>563</v>
      </c>
      <c r="G39" s="11" t="s">
        <v>86</v>
      </c>
      <c r="H39" s="19" t="s">
        <v>1190</v>
      </c>
      <c r="I39" s="12"/>
      <c r="L39">
        <v>184</v>
      </c>
      <c r="M39">
        <v>184</v>
      </c>
      <c r="O39" t="s">
        <v>1187</v>
      </c>
      <c r="P39">
        <v>1</v>
      </c>
      <c r="Q39">
        <v>35</v>
      </c>
      <c r="R39">
        <v>2000</v>
      </c>
      <c r="S39" t="s">
        <v>1187</v>
      </c>
      <c r="T39">
        <v>184</v>
      </c>
      <c r="U39">
        <v>184</v>
      </c>
    </row>
    <row r="40" spans="1:21" ht="24" x14ac:dyDescent="0.15">
      <c r="A40" s="1" t="s">
        <v>39</v>
      </c>
      <c r="B40" s="10">
        <v>31</v>
      </c>
      <c r="C40" s="11" t="s">
        <v>586</v>
      </c>
      <c r="D40" s="12"/>
      <c r="E40" s="11" t="s">
        <v>1174</v>
      </c>
      <c r="F40" s="11" t="s">
        <v>587</v>
      </c>
      <c r="G40" s="11" t="s">
        <v>86</v>
      </c>
      <c r="H40" s="11" t="s">
        <v>1223</v>
      </c>
      <c r="I40" s="12"/>
      <c r="L40">
        <v>46</v>
      </c>
      <c r="M40">
        <v>46</v>
      </c>
      <c r="O40" t="s">
        <v>1185</v>
      </c>
      <c r="P40">
        <v>5</v>
      </c>
      <c r="S40" t="s">
        <v>1185</v>
      </c>
      <c r="T40">
        <v>46</v>
      </c>
      <c r="U40">
        <v>46</v>
      </c>
    </row>
    <row r="41" spans="1:21" ht="24" x14ac:dyDescent="0.15">
      <c r="A41" s="1" t="s">
        <v>39</v>
      </c>
      <c r="B41" s="10">
        <v>32</v>
      </c>
      <c r="C41" s="11" t="s">
        <v>588</v>
      </c>
      <c r="D41" s="12"/>
      <c r="E41" s="11" t="s">
        <v>1174</v>
      </c>
      <c r="F41" s="11" t="s">
        <v>587</v>
      </c>
      <c r="G41" s="11" t="s">
        <v>86</v>
      </c>
      <c r="H41" s="11" t="s">
        <v>1224</v>
      </c>
      <c r="I41" s="12"/>
      <c r="L41">
        <v>46</v>
      </c>
      <c r="M41">
        <v>46</v>
      </c>
      <c r="O41" t="s">
        <v>1185</v>
      </c>
      <c r="P41">
        <v>5</v>
      </c>
      <c r="S41" t="s">
        <v>1185</v>
      </c>
      <c r="T41">
        <v>46</v>
      </c>
      <c r="U41">
        <v>46</v>
      </c>
    </row>
    <row r="42" spans="1:21" ht="24" x14ac:dyDescent="0.15">
      <c r="A42" s="1" t="s">
        <v>39</v>
      </c>
      <c r="B42" s="10">
        <v>33</v>
      </c>
      <c r="C42" s="11" t="s">
        <v>589</v>
      </c>
      <c r="D42" s="12"/>
      <c r="E42" s="11" t="s">
        <v>1174</v>
      </c>
      <c r="F42" s="11" t="s">
        <v>587</v>
      </c>
      <c r="G42" s="11" t="s">
        <v>86</v>
      </c>
      <c r="H42" s="11" t="s">
        <v>1225</v>
      </c>
      <c r="I42" s="12"/>
      <c r="L42">
        <v>46</v>
      </c>
      <c r="M42">
        <v>46</v>
      </c>
      <c r="O42" t="s">
        <v>1185</v>
      </c>
      <c r="P42">
        <v>5</v>
      </c>
      <c r="S42" t="s">
        <v>1185</v>
      </c>
      <c r="T42">
        <v>46</v>
      </c>
      <c r="U42">
        <v>46</v>
      </c>
    </row>
    <row r="43" spans="1:21" ht="24" x14ac:dyDescent="0.15">
      <c r="A43" s="1" t="s">
        <v>39</v>
      </c>
      <c r="B43" s="10">
        <v>34</v>
      </c>
      <c r="C43" s="11" t="s">
        <v>590</v>
      </c>
      <c r="D43" s="12"/>
      <c r="E43" s="11" t="s">
        <v>1174</v>
      </c>
      <c r="F43" s="11" t="s">
        <v>587</v>
      </c>
      <c r="G43" s="11" t="s">
        <v>86</v>
      </c>
      <c r="H43" s="11" t="s">
        <v>1226</v>
      </c>
      <c r="I43" s="12"/>
      <c r="L43">
        <v>46</v>
      </c>
      <c r="M43">
        <v>46</v>
      </c>
      <c r="O43" t="s">
        <v>1185</v>
      </c>
      <c r="P43">
        <v>5</v>
      </c>
      <c r="S43" t="s">
        <v>1185</v>
      </c>
      <c r="T43">
        <v>46</v>
      </c>
      <c r="U43">
        <v>46</v>
      </c>
    </row>
    <row r="44" spans="1:21" ht="24" x14ac:dyDescent="0.15">
      <c r="A44" s="1" t="s">
        <v>39</v>
      </c>
      <c r="B44" s="10">
        <v>35</v>
      </c>
      <c r="C44" s="11" t="s">
        <v>591</v>
      </c>
      <c r="D44" s="12"/>
      <c r="E44" s="11" t="s">
        <v>1174</v>
      </c>
      <c r="F44" s="11" t="s">
        <v>587</v>
      </c>
      <c r="G44" s="11" t="s">
        <v>86</v>
      </c>
      <c r="H44" s="11" t="s">
        <v>1178</v>
      </c>
      <c r="I44" s="12"/>
    </row>
    <row r="45" spans="1:21" ht="24" x14ac:dyDescent="0.15">
      <c r="A45" s="1" t="s">
        <v>39</v>
      </c>
      <c r="B45" s="10">
        <v>36</v>
      </c>
      <c r="C45" s="11" t="s">
        <v>592</v>
      </c>
      <c r="D45" s="12"/>
      <c r="E45" s="11" t="s">
        <v>1175</v>
      </c>
      <c r="F45" s="11" t="s">
        <v>587</v>
      </c>
      <c r="G45" s="11" t="s">
        <v>86</v>
      </c>
      <c r="H45" s="11" t="s">
        <v>1219</v>
      </c>
      <c r="I45" s="12"/>
      <c r="L45">
        <v>46</v>
      </c>
      <c r="M45">
        <v>46</v>
      </c>
      <c r="O45" t="s">
        <v>1185</v>
      </c>
      <c r="P45">
        <v>5</v>
      </c>
      <c r="S45" t="s">
        <v>1185</v>
      </c>
      <c r="T45">
        <v>46</v>
      </c>
      <c r="U45">
        <v>46</v>
      </c>
    </row>
    <row r="46" spans="1:21" ht="24" x14ac:dyDescent="0.15">
      <c r="A46" s="1" t="s">
        <v>39</v>
      </c>
      <c r="B46" s="10">
        <v>37</v>
      </c>
      <c r="C46" s="11" t="s">
        <v>594</v>
      </c>
      <c r="D46" s="12"/>
      <c r="E46" s="11" t="s">
        <v>1175</v>
      </c>
      <c r="F46" s="11" t="s">
        <v>587</v>
      </c>
      <c r="G46" s="11" t="s">
        <v>86</v>
      </c>
      <c r="H46" s="11" t="s">
        <v>1218</v>
      </c>
      <c r="I46" s="12"/>
      <c r="L46">
        <v>46</v>
      </c>
      <c r="M46">
        <v>46</v>
      </c>
      <c r="O46" t="s">
        <v>1185</v>
      </c>
      <c r="P46">
        <v>5</v>
      </c>
      <c r="S46" t="s">
        <v>1185</v>
      </c>
      <c r="T46">
        <v>46</v>
      </c>
      <c r="U46">
        <v>46</v>
      </c>
    </row>
    <row r="47" spans="1:21" ht="24" x14ac:dyDescent="0.15">
      <c r="A47" s="1" t="s">
        <v>39</v>
      </c>
      <c r="B47" s="10">
        <v>38</v>
      </c>
      <c r="C47" s="11" t="s">
        <v>595</v>
      </c>
      <c r="D47" s="12"/>
      <c r="E47" s="11" t="s">
        <v>1175</v>
      </c>
      <c r="F47" s="11" t="s">
        <v>587</v>
      </c>
      <c r="G47" s="11" t="s">
        <v>86</v>
      </c>
      <c r="H47" s="11" t="s">
        <v>1179</v>
      </c>
      <c r="I47" s="12"/>
      <c r="L47">
        <v>46</v>
      </c>
      <c r="M47">
        <v>46</v>
      </c>
      <c r="O47" t="s">
        <v>1185</v>
      </c>
      <c r="P47">
        <v>5</v>
      </c>
      <c r="S47" t="s">
        <v>1185</v>
      </c>
      <c r="T47">
        <v>46</v>
      </c>
      <c r="U47">
        <v>46</v>
      </c>
    </row>
    <row r="48" spans="1:21" ht="24" x14ac:dyDescent="0.15">
      <c r="A48" s="1" t="s">
        <v>39</v>
      </c>
      <c r="B48" s="10">
        <v>39</v>
      </c>
      <c r="C48" s="11" t="s">
        <v>596</v>
      </c>
      <c r="D48" s="12"/>
      <c r="E48" s="11" t="s">
        <v>1175</v>
      </c>
      <c r="F48" s="11" t="s">
        <v>587</v>
      </c>
      <c r="G48" s="11" t="s">
        <v>86</v>
      </c>
      <c r="H48" s="11" t="s">
        <v>1199</v>
      </c>
      <c r="I48" s="12"/>
      <c r="L48">
        <v>46</v>
      </c>
      <c r="M48">
        <v>46</v>
      </c>
      <c r="O48" t="s">
        <v>1185</v>
      </c>
      <c r="P48">
        <v>5</v>
      </c>
      <c r="S48" t="s">
        <v>1185</v>
      </c>
      <c r="T48">
        <v>46</v>
      </c>
      <c r="U48">
        <v>46</v>
      </c>
    </row>
    <row r="49" spans="1:21" ht="24" x14ac:dyDescent="0.15">
      <c r="A49" s="1" t="s">
        <v>39</v>
      </c>
      <c r="B49" s="10">
        <v>40</v>
      </c>
      <c r="C49" s="11" t="s">
        <v>597</v>
      </c>
      <c r="D49" s="12"/>
      <c r="E49" s="11" t="s">
        <v>1175</v>
      </c>
      <c r="F49" s="11" t="s">
        <v>587</v>
      </c>
      <c r="G49" s="11" t="s">
        <v>86</v>
      </c>
      <c r="H49" s="19" t="s">
        <v>1190</v>
      </c>
      <c r="I49" s="12"/>
      <c r="L49">
        <v>184</v>
      </c>
      <c r="M49">
        <v>184</v>
      </c>
      <c r="O49" t="s">
        <v>1187</v>
      </c>
      <c r="P49">
        <v>1</v>
      </c>
      <c r="Q49">
        <v>35</v>
      </c>
      <c r="R49">
        <v>2000</v>
      </c>
      <c r="S49" t="s">
        <v>1187</v>
      </c>
      <c r="T49">
        <v>184</v>
      </c>
      <c r="U49">
        <v>184</v>
      </c>
    </row>
    <row r="50" spans="1:21" ht="24" x14ac:dyDescent="0.15">
      <c r="A50" s="1" t="s">
        <v>39</v>
      </c>
      <c r="B50" s="10">
        <v>41</v>
      </c>
      <c r="C50" s="11" t="s">
        <v>598</v>
      </c>
      <c r="D50" s="12"/>
      <c r="E50" s="11" t="s">
        <v>1176</v>
      </c>
      <c r="F50" s="11" t="s">
        <v>599</v>
      </c>
      <c r="G50" s="11" t="s">
        <v>86</v>
      </c>
      <c r="H50" s="11" t="s">
        <v>1220</v>
      </c>
      <c r="I50" s="12"/>
      <c r="L50">
        <v>46</v>
      </c>
      <c r="M50">
        <v>46</v>
      </c>
      <c r="O50" t="s">
        <v>1185</v>
      </c>
      <c r="P50">
        <v>5</v>
      </c>
      <c r="S50" t="s">
        <v>1185</v>
      </c>
      <c r="T50">
        <v>46</v>
      </c>
      <c r="U50">
        <v>46</v>
      </c>
    </row>
    <row r="51" spans="1:21" ht="24" x14ac:dyDescent="0.15">
      <c r="A51" s="1" t="s">
        <v>39</v>
      </c>
      <c r="B51" s="10">
        <v>42</v>
      </c>
      <c r="C51" s="11" t="s">
        <v>600</v>
      </c>
      <c r="D51" s="12"/>
      <c r="E51" s="11" t="s">
        <v>1176</v>
      </c>
      <c r="F51" s="11" t="s">
        <v>599</v>
      </c>
      <c r="G51" s="11" t="s">
        <v>86</v>
      </c>
      <c r="H51" s="11" t="s">
        <v>1221</v>
      </c>
      <c r="I51" s="12"/>
      <c r="L51">
        <v>46</v>
      </c>
      <c r="M51">
        <v>46</v>
      </c>
      <c r="O51" t="s">
        <v>1185</v>
      </c>
      <c r="P51">
        <v>5</v>
      </c>
      <c r="S51" t="s">
        <v>1185</v>
      </c>
      <c r="T51">
        <v>46</v>
      </c>
      <c r="U51">
        <v>46</v>
      </c>
    </row>
    <row r="52" spans="1:21" ht="24" x14ac:dyDescent="0.15">
      <c r="A52" s="1" t="s">
        <v>39</v>
      </c>
      <c r="B52" s="10">
        <v>43</v>
      </c>
      <c r="C52" s="11" t="s">
        <v>601</v>
      </c>
      <c r="D52" s="12"/>
      <c r="E52" s="11" t="s">
        <v>1176</v>
      </c>
      <c r="F52" s="11" t="s">
        <v>599</v>
      </c>
      <c r="G52" s="11" t="s">
        <v>86</v>
      </c>
      <c r="H52" s="11" t="s">
        <v>1222</v>
      </c>
      <c r="I52" s="12"/>
      <c r="L52">
        <v>46</v>
      </c>
      <c r="M52">
        <v>46</v>
      </c>
      <c r="O52" t="s">
        <v>1185</v>
      </c>
      <c r="P52">
        <v>5</v>
      </c>
      <c r="S52" t="s">
        <v>1185</v>
      </c>
      <c r="T52">
        <v>46</v>
      </c>
      <c r="U52">
        <v>46</v>
      </c>
    </row>
    <row r="53" spans="1:21" ht="24" x14ac:dyDescent="0.15">
      <c r="A53" s="1" t="s">
        <v>39</v>
      </c>
      <c r="B53" s="10">
        <v>44</v>
      </c>
      <c r="C53" s="11" t="s">
        <v>602</v>
      </c>
      <c r="D53" s="12"/>
      <c r="E53" s="11" t="s">
        <v>1176</v>
      </c>
      <c r="F53" s="11" t="s">
        <v>599</v>
      </c>
      <c r="G53" s="11" t="s">
        <v>86</v>
      </c>
      <c r="H53" s="11" t="s">
        <v>1222</v>
      </c>
      <c r="I53" s="12"/>
      <c r="L53">
        <v>46</v>
      </c>
      <c r="M53">
        <v>46</v>
      </c>
      <c r="O53" t="s">
        <v>1185</v>
      </c>
      <c r="P53">
        <v>5</v>
      </c>
      <c r="S53" t="s">
        <v>1185</v>
      </c>
      <c r="T53">
        <v>46</v>
      </c>
      <c r="U53">
        <v>46</v>
      </c>
    </row>
    <row r="54" spans="1:21" ht="24" x14ac:dyDescent="0.15">
      <c r="A54" s="1" t="s">
        <v>39</v>
      </c>
      <c r="B54" s="10">
        <v>45</v>
      </c>
      <c r="C54" s="11" t="s">
        <v>603</v>
      </c>
      <c r="D54" s="12"/>
      <c r="E54" s="11" t="s">
        <v>1176</v>
      </c>
      <c r="F54" s="11" t="s">
        <v>599</v>
      </c>
      <c r="G54" s="11" t="s">
        <v>86</v>
      </c>
      <c r="H54" s="11" t="s">
        <v>1178</v>
      </c>
      <c r="I54" s="12"/>
    </row>
    <row r="55" spans="1:21" ht="24" x14ac:dyDescent="0.15">
      <c r="A55" s="1" t="s">
        <v>39</v>
      </c>
      <c r="B55" s="10">
        <v>46</v>
      </c>
      <c r="C55" s="11" t="s">
        <v>604</v>
      </c>
      <c r="D55" s="12"/>
      <c r="E55" s="11" t="s">
        <v>1177</v>
      </c>
      <c r="F55" s="11" t="s">
        <v>599</v>
      </c>
      <c r="G55" s="11" t="s">
        <v>86</v>
      </c>
      <c r="H55" s="11" t="s">
        <v>1193</v>
      </c>
      <c r="I55" s="12"/>
      <c r="L55">
        <v>46</v>
      </c>
      <c r="M55">
        <v>46</v>
      </c>
      <c r="O55" t="s">
        <v>1185</v>
      </c>
      <c r="P55">
        <v>5</v>
      </c>
      <c r="S55" t="s">
        <v>1185</v>
      </c>
      <c r="T55">
        <v>46</v>
      </c>
      <c r="U55">
        <v>46</v>
      </c>
    </row>
    <row r="56" spans="1:21" ht="24" x14ac:dyDescent="0.15">
      <c r="A56" s="1" t="s">
        <v>39</v>
      </c>
      <c r="B56" s="10">
        <v>47</v>
      </c>
      <c r="C56" s="11" t="s">
        <v>605</v>
      </c>
      <c r="D56" s="12"/>
      <c r="E56" s="11" t="s">
        <v>1177</v>
      </c>
      <c r="F56" s="11" t="s">
        <v>599</v>
      </c>
      <c r="G56" s="11" t="s">
        <v>86</v>
      </c>
      <c r="H56" s="11" t="s">
        <v>1194</v>
      </c>
      <c r="I56" s="12"/>
      <c r="L56">
        <v>46</v>
      </c>
      <c r="M56">
        <v>46</v>
      </c>
      <c r="O56" t="s">
        <v>1185</v>
      </c>
      <c r="P56">
        <v>5</v>
      </c>
      <c r="S56" t="s">
        <v>1185</v>
      </c>
      <c r="T56">
        <v>46</v>
      </c>
      <c r="U56">
        <v>46</v>
      </c>
    </row>
    <row r="57" spans="1:21" ht="24" x14ac:dyDescent="0.15">
      <c r="A57" s="1" t="s">
        <v>39</v>
      </c>
      <c r="B57" s="10">
        <v>48</v>
      </c>
      <c r="C57" s="11" t="s">
        <v>606</v>
      </c>
      <c r="D57" s="12"/>
      <c r="E57" s="11" t="s">
        <v>1177</v>
      </c>
      <c r="F57" s="11" t="s">
        <v>599</v>
      </c>
      <c r="G57" s="11" t="s">
        <v>86</v>
      </c>
      <c r="H57" s="11" t="s">
        <v>1195</v>
      </c>
      <c r="I57" s="12"/>
      <c r="L57">
        <v>46</v>
      </c>
      <c r="M57">
        <v>46</v>
      </c>
      <c r="O57" t="s">
        <v>1185</v>
      </c>
      <c r="P57">
        <v>5</v>
      </c>
      <c r="S57" t="s">
        <v>1185</v>
      </c>
      <c r="T57">
        <v>46</v>
      </c>
      <c r="U57">
        <v>46</v>
      </c>
    </row>
    <row r="58" spans="1:21" ht="24" x14ac:dyDescent="0.15">
      <c r="A58" s="1" t="s">
        <v>39</v>
      </c>
      <c r="B58" s="10">
        <v>49</v>
      </c>
      <c r="C58" s="11" t="s">
        <v>607</v>
      </c>
      <c r="D58" s="12"/>
      <c r="E58" s="11" t="s">
        <v>1177</v>
      </c>
      <c r="F58" s="11" t="s">
        <v>599</v>
      </c>
      <c r="G58" s="11" t="s">
        <v>86</v>
      </c>
      <c r="H58" s="11" t="s">
        <v>1200</v>
      </c>
      <c r="I58" s="12"/>
      <c r="L58">
        <v>46</v>
      </c>
      <c r="M58">
        <v>46</v>
      </c>
      <c r="O58" t="s">
        <v>1185</v>
      </c>
      <c r="P58">
        <v>5</v>
      </c>
      <c r="S58" t="s">
        <v>1185</v>
      </c>
      <c r="T58">
        <v>46</v>
      </c>
      <c r="U58">
        <v>46</v>
      </c>
    </row>
    <row r="59" spans="1:21" ht="24" x14ac:dyDescent="0.15">
      <c r="A59" s="1" t="s">
        <v>39</v>
      </c>
      <c r="B59" s="10">
        <v>50</v>
      </c>
      <c r="C59" s="11" t="s">
        <v>608</v>
      </c>
      <c r="D59" s="12"/>
      <c r="E59" s="11" t="s">
        <v>1177</v>
      </c>
      <c r="F59" s="11" t="s">
        <v>599</v>
      </c>
      <c r="G59" s="11" t="s">
        <v>86</v>
      </c>
      <c r="H59" s="11" t="s">
        <v>1201</v>
      </c>
      <c r="I59" s="12"/>
      <c r="L59">
        <v>184</v>
      </c>
      <c r="M59">
        <v>184</v>
      </c>
      <c r="O59" t="s">
        <v>1187</v>
      </c>
      <c r="P59">
        <v>1</v>
      </c>
      <c r="Q59">
        <v>15</v>
      </c>
      <c r="R59">
        <v>2000</v>
      </c>
      <c r="S59" t="s">
        <v>1187</v>
      </c>
      <c r="T59">
        <v>184</v>
      </c>
      <c r="U59">
        <v>184</v>
      </c>
    </row>
    <row r="60" spans="1:21" x14ac:dyDescent="0.15">
      <c r="A60" s="1"/>
      <c r="B60" s="10"/>
      <c r="C60" s="1"/>
      <c r="D60" s="1"/>
      <c r="E60" s="1"/>
      <c r="F60" s="1"/>
      <c r="G60" s="1"/>
      <c r="H60" s="1"/>
      <c r="I60" s="1"/>
    </row>
    <row r="61" spans="1:21" x14ac:dyDescent="0.15">
      <c r="A61" s="1"/>
      <c r="B61" s="10"/>
      <c r="C61" s="1"/>
      <c r="D61" s="1"/>
      <c r="E61" s="1"/>
      <c r="F61" s="1"/>
      <c r="G61" s="1"/>
      <c r="H61" s="1"/>
      <c r="I61" s="1"/>
    </row>
    <row r="62" spans="1:21" x14ac:dyDescent="0.15">
      <c r="A62" s="1"/>
      <c r="B62" s="10"/>
      <c r="C62" s="1"/>
      <c r="D62" s="1"/>
      <c r="E62" s="1"/>
      <c r="F62" s="1"/>
      <c r="G62" s="1"/>
      <c r="H62" s="1"/>
      <c r="I62" s="1"/>
    </row>
    <row r="63" spans="1:21" x14ac:dyDescent="0.15">
      <c r="A63" s="1"/>
      <c r="B63" s="10"/>
      <c r="C63" s="1"/>
      <c r="D63" s="1"/>
      <c r="E63" s="1"/>
      <c r="F63" s="1"/>
      <c r="G63" s="1"/>
      <c r="H63" s="1"/>
      <c r="I63" s="1"/>
    </row>
    <row r="64" spans="1:21" x14ac:dyDescent="0.15">
      <c r="A64" s="1"/>
      <c r="B64" s="10"/>
      <c r="C64" s="1"/>
      <c r="D64" s="1"/>
      <c r="E64" s="1"/>
      <c r="F64" s="1"/>
      <c r="G64" s="1"/>
      <c r="H64" s="1"/>
      <c r="I64" s="1"/>
    </row>
    <row r="65" spans="1:9" x14ac:dyDescent="0.15">
      <c r="A65" s="1"/>
      <c r="B65" s="10"/>
      <c r="C65" s="1"/>
      <c r="D65" s="1"/>
      <c r="E65" s="1"/>
      <c r="F65" s="1"/>
      <c r="G65" s="1"/>
      <c r="H65" s="1"/>
      <c r="I65" s="1"/>
    </row>
    <row r="66" spans="1:9" x14ac:dyDescent="0.15">
      <c r="A66" s="1"/>
      <c r="B66" s="10"/>
      <c r="C66" s="1"/>
      <c r="D66" s="1"/>
      <c r="E66" s="1"/>
      <c r="F66" s="1"/>
      <c r="G66" s="1"/>
      <c r="H66" s="1"/>
      <c r="I66" s="1"/>
    </row>
    <row r="67" spans="1:9" x14ac:dyDescent="0.15">
      <c r="A67" s="1"/>
      <c r="B67" s="10"/>
      <c r="C67" s="1"/>
      <c r="D67" s="1"/>
      <c r="E67" s="1"/>
      <c r="F67" s="1"/>
      <c r="G67" s="1"/>
      <c r="H67" s="1"/>
      <c r="I67" s="1"/>
    </row>
  </sheetData>
  <phoneticPr fontId="35" type="noConversion"/>
  <conditionalFormatting sqref="B1:B3 B5:B67">
    <cfRule type="duplicateValues" dxfId="5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V67"/>
  <sheetViews>
    <sheetView workbookViewId="0"/>
  </sheetViews>
  <sheetFormatPr defaultColWidth="9" defaultRowHeight="13.5" x14ac:dyDescent="0.15"/>
  <cols>
    <col min="10" max="10" width="13.125" customWidth="1"/>
    <col min="11" max="11" width="14.5" style="1" customWidth="1"/>
    <col min="16" max="16" width="15.375" customWidth="1"/>
  </cols>
  <sheetData>
    <row r="1" spans="1:22" x14ac:dyDescent="0.15">
      <c r="A1" s="2" t="s">
        <v>38</v>
      </c>
      <c r="B1" s="3" t="s">
        <v>39</v>
      </c>
      <c r="C1" s="3" t="s">
        <v>39</v>
      </c>
      <c r="D1" s="3" t="s">
        <v>39</v>
      </c>
      <c r="E1" s="3" t="s">
        <v>39</v>
      </c>
      <c r="F1" s="3" t="s">
        <v>39</v>
      </c>
      <c r="G1" s="3" t="s">
        <v>39</v>
      </c>
      <c r="H1" s="3" t="s">
        <v>39</v>
      </c>
      <c r="I1" s="3" t="s">
        <v>39</v>
      </c>
      <c r="J1" s="3" t="s">
        <v>39</v>
      </c>
      <c r="K1" s="3" t="s">
        <v>39</v>
      </c>
      <c r="L1" s="3" t="s">
        <v>39</v>
      </c>
      <c r="M1" s="3" t="s">
        <v>39</v>
      </c>
      <c r="N1" s="3" t="s">
        <v>39</v>
      </c>
      <c r="O1" s="3" t="s">
        <v>39</v>
      </c>
      <c r="P1" s="3" t="s">
        <v>39</v>
      </c>
      <c r="Q1" s="3" t="s">
        <v>39</v>
      </c>
      <c r="R1" s="3" t="s">
        <v>39</v>
      </c>
      <c r="S1" s="3" t="s">
        <v>39</v>
      </c>
      <c r="T1" s="3" t="s">
        <v>39</v>
      </c>
      <c r="U1" s="3" t="s">
        <v>39</v>
      </c>
      <c r="V1" s="3" t="s">
        <v>39</v>
      </c>
    </row>
    <row r="2" spans="1:22" x14ac:dyDescent="0.15">
      <c r="A2" s="2" t="s">
        <v>40</v>
      </c>
      <c r="B2" s="3" t="s">
        <v>39</v>
      </c>
      <c r="C2" s="3" t="s">
        <v>39</v>
      </c>
      <c r="D2" s="3" t="s">
        <v>39</v>
      </c>
      <c r="E2" s="3" t="s">
        <v>39</v>
      </c>
      <c r="F2" s="3" t="s">
        <v>39</v>
      </c>
      <c r="G2" s="3" t="s">
        <v>39</v>
      </c>
      <c r="H2" s="3" t="s">
        <v>39</v>
      </c>
      <c r="I2" s="3" t="s">
        <v>39</v>
      </c>
      <c r="J2" s="3" t="s">
        <v>39</v>
      </c>
      <c r="K2" s="3" t="s">
        <v>39</v>
      </c>
      <c r="L2" s="3" t="s">
        <v>39</v>
      </c>
      <c r="M2" s="3" t="s">
        <v>39</v>
      </c>
      <c r="N2" s="3" t="s">
        <v>39</v>
      </c>
      <c r="O2" s="3" t="s">
        <v>39</v>
      </c>
      <c r="P2" s="3" t="s">
        <v>39</v>
      </c>
      <c r="Q2" s="3" t="s">
        <v>39</v>
      </c>
      <c r="R2" s="3" t="s">
        <v>39</v>
      </c>
      <c r="S2" s="3" t="s">
        <v>39</v>
      </c>
      <c r="T2" s="3" t="s">
        <v>39</v>
      </c>
      <c r="U2" s="3" t="s">
        <v>39</v>
      </c>
      <c r="V2" s="3" t="s">
        <v>39</v>
      </c>
    </row>
    <row r="3" spans="1:22" ht="14.25" x14ac:dyDescent="0.15">
      <c r="A3" s="4" t="s">
        <v>39</v>
      </c>
      <c r="B3" s="4" t="s">
        <v>41</v>
      </c>
      <c r="C3" s="5" t="s">
        <v>42</v>
      </c>
      <c r="D3" s="5" t="s">
        <v>42</v>
      </c>
      <c r="E3" s="5" t="s">
        <v>42</v>
      </c>
      <c r="F3" s="5" t="s">
        <v>42</v>
      </c>
      <c r="G3" s="5" t="s">
        <v>42</v>
      </c>
      <c r="H3" s="5" t="s">
        <v>42</v>
      </c>
      <c r="I3" s="5" t="s">
        <v>42</v>
      </c>
      <c r="J3" s="5" t="s">
        <v>41</v>
      </c>
      <c r="K3" s="5" t="s">
        <v>41</v>
      </c>
      <c r="L3" s="5" t="s">
        <v>41</v>
      </c>
      <c r="M3" s="5" t="s">
        <v>41</v>
      </c>
      <c r="N3" s="5" t="s">
        <v>41</v>
      </c>
      <c r="O3" s="5" t="s">
        <v>42</v>
      </c>
      <c r="P3" s="5" t="s">
        <v>41</v>
      </c>
      <c r="Q3" s="5" t="s">
        <v>41</v>
      </c>
      <c r="R3" s="5" t="s">
        <v>41</v>
      </c>
      <c r="S3" s="5" t="s">
        <v>42</v>
      </c>
      <c r="T3" s="5" t="s">
        <v>41</v>
      </c>
      <c r="U3" s="5" t="s">
        <v>981</v>
      </c>
      <c r="V3" s="5" t="s">
        <v>989</v>
      </c>
    </row>
    <row r="4" spans="1:22" ht="14.25" x14ac:dyDescent="0.15">
      <c r="A4" s="4"/>
      <c r="B4" s="4" t="s">
        <v>43</v>
      </c>
      <c r="C4" s="4" t="s">
        <v>188</v>
      </c>
      <c r="D4" s="4" t="s">
        <v>44</v>
      </c>
      <c r="E4" s="4" t="s">
        <v>189</v>
      </c>
      <c r="F4" s="4" t="s">
        <v>190</v>
      </c>
      <c r="G4" s="4" t="s">
        <v>191</v>
      </c>
      <c r="H4" s="4" t="s">
        <v>192</v>
      </c>
      <c r="I4" s="4" t="s">
        <v>193</v>
      </c>
      <c r="J4" s="5" t="s">
        <v>194</v>
      </c>
      <c r="K4" s="5" t="s">
        <v>195</v>
      </c>
      <c r="L4" s="5" t="s">
        <v>196</v>
      </c>
      <c r="M4" s="5" t="s">
        <v>197</v>
      </c>
      <c r="N4" s="5" t="s">
        <v>198</v>
      </c>
      <c r="O4" s="5" t="s">
        <v>199</v>
      </c>
      <c r="P4" s="5" t="s">
        <v>200</v>
      </c>
      <c r="Q4" s="5" t="s">
        <v>201</v>
      </c>
      <c r="R4" s="5" t="s">
        <v>202</v>
      </c>
      <c r="S4" s="5" t="s">
        <v>203</v>
      </c>
      <c r="T4" s="5" t="s">
        <v>204</v>
      </c>
      <c r="U4" s="5" t="s">
        <v>982</v>
      </c>
      <c r="V4" s="5" t="s">
        <v>990</v>
      </c>
    </row>
    <row r="5" spans="1:22" ht="14.25" x14ac:dyDescent="0.15">
      <c r="A5" s="4"/>
      <c r="B5" s="4" t="str">
        <f>IF(B3="","",IF(B3="INT","i",IF(B3="FLOAT","f",IF(B3="STRING","s"))))</f>
        <v>i</v>
      </c>
      <c r="C5" s="5" t="s">
        <v>68</v>
      </c>
      <c r="D5" s="5" t="s">
        <v>68</v>
      </c>
      <c r="E5" s="5" t="s">
        <v>68</v>
      </c>
      <c r="F5" s="5" t="s">
        <v>68</v>
      </c>
      <c r="G5" s="5" t="s">
        <v>68</v>
      </c>
      <c r="H5" s="5" t="s">
        <v>68</v>
      </c>
      <c r="I5" s="5" t="s">
        <v>68</v>
      </c>
      <c r="J5" s="5" t="s">
        <v>67</v>
      </c>
      <c r="K5" s="5" t="s">
        <v>67</v>
      </c>
      <c r="L5" s="5" t="s">
        <v>67</v>
      </c>
      <c r="M5" s="5" t="s">
        <v>67</v>
      </c>
      <c r="N5" s="5" t="s">
        <v>67</v>
      </c>
      <c r="O5" s="5" t="s">
        <v>68</v>
      </c>
      <c r="P5" s="5" t="s">
        <v>67</v>
      </c>
      <c r="Q5" s="5" t="s">
        <v>67</v>
      </c>
      <c r="R5" s="5" t="s">
        <v>67</v>
      </c>
      <c r="S5" s="5" t="s">
        <v>68</v>
      </c>
      <c r="T5" s="5" t="s">
        <v>67</v>
      </c>
      <c r="U5" s="5" t="s">
        <v>67</v>
      </c>
      <c r="V5" s="5" t="s">
        <v>67</v>
      </c>
    </row>
    <row r="6" spans="1:22" ht="14.25" x14ac:dyDescent="0.15">
      <c r="A6" s="4" t="s">
        <v>39</v>
      </c>
      <c r="B6" s="4" t="str">
        <f t="shared" ref="B6:E6" si="0">B5&amp;B4</f>
        <v>iID</v>
      </c>
      <c r="C6" s="5" t="str">
        <f t="shared" si="0"/>
        <v>sRoomID</v>
      </c>
      <c r="D6" s="5" t="str">
        <f t="shared" si="0"/>
        <v>sNotes</v>
      </c>
      <c r="E6" s="5" t="str">
        <f t="shared" si="0"/>
        <v>sAttributes</v>
      </c>
      <c r="F6" s="5" t="str">
        <f t="shared" ref="F6:Q6" si="1">F5&amp;F4</f>
        <v>sMapAttributes</v>
      </c>
      <c r="G6" s="5" t="str">
        <f t="shared" si="1"/>
        <v>sStandardDefence</v>
      </c>
      <c r="H6" s="5" t="str">
        <f t="shared" si="1"/>
        <v>sRoomIDs</v>
      </c>
      <c r="I6" s="5" t="str">
        <f t="shared" si="1"/>
        <v>sRoomIDs1</v>
      </c>
      <c r="J6" s="5" t="str">
        <f t="shared" si="1"/>
        <v>iCheatValue</v>
      </c>
      <c r="K6" s="5" t="str">
        <f t="shared" si="1"/>
        <v>iBattleValue</v>
      </c>
      <c r="L6" s="5" t="str">
        <f t="shared" si="1"/>
        <v>iGoldAdd</v>
      </c>
      <c r="M6" s="5" t="str">
        <f t="shared" si="1"/>
        <v>iExpAdd</v>
      </c>
      <c r="N6" s="5" t="str">
        <f t="shared" si="1"/>
        <v>iAwardHero</v>
      </c>
      <c r="O6" s="5" t="str">
        <f t="shared" si="1"/>
        <v>sOutPut</v>
      </c>
      <c r="P6" s="5" t="str">
        <f t="shared" si="1"/>
        <v>iDropCount</v>
      </c>
      <c r="Q6" s="5" t="str">
        <f t="shared" si="1"/>
        <v>iCatchTime</v>
      </c>
      <c r="R6" s="5" t="str">
        <f t="shared" ref="R6:S6" si="2">R5&amp;R4</f>
        <v>iCatchProb</v>
      </c>
      <c r="S6" s="5" t="str">
        <f t="shared" si="2"/>
        <v>sFirstOutPut</v>
      </c>
      <c r="T6" s="5" t="str">
        <f t="shared" ref="T6:V6" si="3">T5&amp;T4</f>
        <v>iFirstExpAdd</v>
      </c>
      <c r="U6" s="5" t="str">
        <f t="shared" si="3"/>
        <v>iFirstGoldAdd</v>
      </c>
      <c r="V6" s="5" t="str">
        <f t="shared" si="3"/>
        <v>iMonsLv</v>
      </c>
    </row>
    <row r="7" spans="1:22" ht="14.25" x14ac:dyDescent="0.15">
      <c r="A7" s="4"/>
      <c r="B7" s="4" t="s">
        <v>206</v>
      </c>
      <c r="C7" s="6"/>
      <c r="D7" s="6"/>
      <c r="E7" s="6"/>
      <c r="F7" s="6"/>
      <c r="G7" s="6"/>
      <c r="H7" s="6"/>
      <c r="I7" s="6"/>
      <c r="J7" s="6" t="s">
        <v>213</v>
      </c>
      <c r="K7" s="6" t="s">
        <v>214</v>
      </c>
      <c r="L7" s="6" t="s">
        <v>215</v>
      </c>
      <c r="M7" s="6" t="s">
        <v>216</v>
      </c>
      <c r="N7" s="6" t="s">
        <v>217</v>
      </c>
      <c r="O7" s="6" t="s">
        <v>218</v>
      </c>
      <c r="P7" s="6" t="s">
        <v>219</v>
      </c>
      <c r="Q7" s="6" t="s">
        <v>220</v>
      </c>
      <c r="R7" s="6" t="s">
        <v>221</v>
      </c>
      <c r="S7" s="6" t="s">
        <v>222</v>
      </c>
      <c r="T7" s="6" t="s">
        <v>223</v>
      </c>
      <c r="U7" s="6" t="s">
        <v>984</v>
      </c>
      <c r="V7" s="6" t="s">
        <v>991</v>
      </c>
    </row>
    <row r="8" spans="1:22" ht="14.25" x14ac:dyDescent="0.15">
      <c r="A8" s="4" t="s">
        <v>78</v>
      </c>
      <c r="B8" s="4">
        <v>0</v>
      </c>
      <c r="C8" s="6">
        <v>0</v>
      </c>
      <c r="D8" s="6"/>
      <c r="E8" s="6"/>
      <c r="F8" s="6"/>
      <c r="G8" s="6"/>
      <c r="H8" s="6"/>
      <c r="I8" s="6"/>
      <c r="J8" s="6">
        <v>10000</v>
      </c>
      <c r="K8" s="6">
        <v>10000</v>
      </c>
      <c r="L8" s="6">
        <v>0</v>
      </c>
      <c r="M8" s="6">
        <v>0</v>
      </c>
      <c r="N8" s="6"/>
      <c r="O8" s="6"/>
      <c r="P8" s="6">
        <v>0</v>
      </c>
      <c r="Q8" s="6">
        <v>0</v>
      </c>
      <c r="R8" s="6">
        <v>0</v>
      </c>
      <c r="S8" s="6"/>
      <c r="T8" s="6">
        <v>0</v>
      </c>
      <c r="U8" s="6">
        <v>0</v>
      </c>
      <c r="V8" s="6">
        <v>1</v>
      </c>
    </row>
    <row r="9" spans="1:22" ht="14.25" x14ac:dyDescent="0.15">
      <c r="A9" s="7"/>
      <c r="B9" s="7"/>
      <c r="C9" s="8"/>
      <c r="D9" s="8"/>
      <c r="E9" s="9"/>
      <c r="F9" s="8"/>
      <c r="G9" s="8"/>
      <c r="H9" s="8"/>
      <c r="I9" s="8"/>
      <c r="J9" s="8" t="s">
        <v>224</v>
      </c>
      <c r="K9" s="8" t="s">
        <v>224</v>
      </c>
      <c r="L9" s="8"/>
      <c r="M9" s="8"/>
      <c r="N9" s="8"/>
      <c r="O9" s="8" t="s">
        <v>225</v>
      </c>
      <c r="Q9" s="8" t="s">
        <v>284</v>
      </c>
      <c r="R9" s="8" t="s">
        <v>227</v>
      </c>
      <c r="S9" s="8" t="s">
        <v>225</v>
      </c>
      <c r="T9" s="8"/>
    </row>
    <row r="10" spans="1:22" ht="408" x14ac:dyDescent="0.15">
      <c r="A10" s="1" t="s">
        <v>39</v>
      </c>
      <c r="B10" s="10">
        <v>1</v>
      </c>
      <c r="C10" s="11" t="s">
        <v>609</v>
      </c>
      <c r="D10" s="12"/>
      <c r="E10" s="11" t="s">
        <v>610</v>
      </c>
      <c r="F10" s="11" t="s">
        <v>611</v>
      </c>
      <c r="G10" s="11" t="s">
        <v>86</v>
      </c>
      <c r="H10" s="11" t="s">
        <v>537</v>
      </c>
      <c r="I10" s="12"/>
    </row>
    <row r="11" spans="1:22" ht="408" x14ac:dyDescent="0.15">
      <c r="A11" s="1" t="s">
        <v>39</v>
      </c>
      <c r="B11" s="10">
        <v>2</v>
      </c>
      <c r="C11" s="11" t="s">
        <v>612</v>
      </c>
      <c r="D11" s="12"/>
      <c r="E11" s="11" t="s">
        <v>610</v>
      </c>
      <c r="F11" s="11" t="s">
        <v>611</v>
      </c>
      <c r="G11" s="11" t="s">
        <v>86</v>
      </c>
      <c r="H11" s="11" t="s">
        <v>539</v>
      </c>
      <c r="I11" s="12"/>
    </row>
    <row r="12" spans="1:22" ht="409.5" x14ac:dyDescent="0.15">
      <c r="A12" s="1" t="s">
        <v>39</v>
      </c>
      <c r="B12" s="10">
        <v>3</v>
      </c>
      <c r="C12" s="11" t="s">
        <v>613</v>
      </c>
      <c r="D12" s="12"/>
      <c r="E12" s="11" t="s">
        <v>610</v>
      </c>
      <c r="F12" s="11" t="s">
        <v>611</v>
      </c>
      <c r="G12" s="11" t="s">
        <v>86</v>
      </c>
      <c r="H12" s="11" t="s">
        <v>541</v>
      </c>
      <c r="I12" s="12"/>
    </row>
    <row r="13" spans="1:22" ht="409.5" x14ac:dyDescent="0.15">
      <c r="A13" s="1" t="s">
        <v>39</v>
      </c>
      <c r="B13" s="10">
        <v>4</v>
      </c>
      <c r="C13" s="11" t="s">
        <v>614</v>
      </c>
      <c r="D13" s="12"/>
      <c r="E13" s="11" t="s">
        <v>610</v>
      </c>
      <c r="F13" s="11" t="s">
        <v>611</v>
      </c>
      <c r="G13" s="11" t="s">
        <v>86</v>
      </c>
      <c r="H13" s="11" t="s">
        <v>541</v>
      </c>
      <c r="I13" s="11" t="s">
        <v>543</v>
      </c>
    </row>
    <row r="14" spans="1:22" ht="180" x14ac:dyDescent="0.15">
      <c r="A14" s="1" t="s">
        <v>39</v>
      </c>
      <c r="B14" s="10">
        <v>5</v>
      </c>
      <c r="C14" s="11" t="s">
        <v>615</v>
      </c>
      <c r="D14" s="12"/>
      <c r="E14" s="11" t="s">
        <v>610</v>
      </c>
      <c r="F14" s="11" t="s">
        <v>611</v>
      </c>
      <c r="G14" s="11" t="s">
        <v>86</v>
      </c>
      <c r="H14" s="11" t="s">
        <v>234</v>
      </c>
      <c r="I14" s="12"/>
    </row>
    <row r="15" spans="1:22" ht="204" x14ac:dyDescent="0.15">
      <c r="A15" s="1" t="s">
        <v>39</v>
      </c>
      <c r="B15" s="10">
        <v>6</v>
      </c>
      <c r="C15" s="11" t="s">
        <v>616</v>
      </c>
      <c r="D15" s="12"/>
      <c r="E15" s="11" t="s">
        <v>617</v>
      </c>
      <c r="F15" s="11" t="s">
        <v>611</v>
      </c>
      <c r="G15" s="11" t="s">
        <v>86</v>
      </c>
      <c r="H15" s="11" t="s">
        <v>546</v>
      </c>
      <c r="I15" s="12"/>
    </row>
    <row r="16" spans="1:22" ht="409.5" x14ac:dyDescent="0.15">
      <c r="A16" s="1" t="s">
        <v>39</v>
      </c>
      <c r="B16" s="10">
        <v>7</v>
      </c>
      <c r="C16" s="11" t="s">
        <v>618</v>
      </c>
      <c r="D16" s="12"/>
      <c r="E16" s="11" t="s">
        <v>617</v>
      </c>
      <c r="F16" s="11" t="s">
        <v>611</v>
      </c>
      <c r="G16" s="11" t="s">
        <v>86</v>
      </c>
      <c r="H16" s="11" t="s">
        <v>548</v>
      </c>
      <c r="I16" s="11" t="s">
        <v>549</v>
      </c>
    </row>
    <row r="17" spans="1:9" ht="409.5" x14ac:dyDescent="0.15">
      <c r="A17" s="1" t="s">
        <v>39</v>
      </c>
      <c r="B17" s="10">
        <v>8</v>
      </c>
      <c r="C17" s="11" t="s">
        <v>619</v>
      </c>
      <c r="D17" s="12"/>
      <c r="E17" s="11" t="s">
        <v>617</v>
      </c>
      <c r="F17" s="11" t="s">
        <v>611</v>
      </c>
      <c r="G17" s="11" t="s">
        <v>86</v>
      </c>
      <c r="H17" s="11" t="s">
        <v>548</v>
      </c>
      <c r="I17" s="12"/>
    </row>
    <row r="18" spans="1:9" ht="240" x14ac:dyDescent="0.15">
      <c r="A18" s="1" t="s">
        <v>39</v>
      </c>
      <c r="B18" s="10">
        <v>9</v>
      </c>
      <c r="C18" s="11" t="s">
        <v>620</v>
      </c>
      <c r="D18" s="12"/>
      <c r="E18" s="11" t="s">
        <v>617</v>
      </c>
      <c r="F18" s="11" t="s">
        <v>611</v>
      </c>
      <c r="G18" s="11" t="s">
        <v>86</v>
      </c>
      <c r="H18" s="11" t="s">
        <v>552</v>
      </c>
      <c r="I18" s="11" t="s">
        <v>553</v>
      </c>
    </row>
    <row r="19" spans="1:9" ht="60" x14ac:dyDescent="0.15">
      <c r="A19" s="1" t="s">
        <v>39</v>
      </c>
      <c r="B19" s="10">
        <v>10</v>
      </c>
      <c r="C19" s="11" t="s">
        <v>621</v>
      </c>
      <c r="D19" s="12"/>
      <c r="E19" s="11" t="s">
        <v>617</v>
      </c>
      <c r="F19" s="11" t="s">
        <v>611</v>
      </c>
      <c r="G19" s="11" t="s">
        <v>86</v>
      </c>
      <c r="H19" s="11" t="s">
        <v>622</v>
      </c>
      <c r="I19" s="12"/>
    </row>
    <row r="20" spans="1:9" ht="409.5" x14ac:dyDescent="0.15">
      <c r="A20" s="1" t="s">
        <v>39</v>
      </c>
      <c r="B20" s="10">
        <v>11</v>
      </c>
      <c r="C20" s="11" t="s">
        <v>623</v>
      </c>
      <c r="D20" s="12"/>
      <c r="E20" s="11" t="s">
        <v>624</v>
      </c>
      <c r="F20" s="11" t="s">
        <v>611</v>
      </c>
      <c r="G20" s="11" t="s">
        <v>86</v>
      </c>
      <c r="H20" s="11" t="s">
        <v>556</v>
      </c>
      <c r="I20" s="11" t="s">
        <v>557</v>
      </c>
    </row>
    <row r="21" spans="1:9" ht="409.5" x14ac:dyDescent="0.15">
      <c r="A21" s="1" t="s">
        <v>39</v>
      </c>
      <c r="B21" s="10">
        <v>12</v>
      </c>
      <c r="C21" s="11" t="s">
        <v>625</v>
      </c>
      <c r="D21" s="12"/>
      <c r="E21" s="11" t="s">
        <v>624</v>
      </c>
      <c r="F21" s="11" t="s">
        <v>611</v>
      </c>
      <c r="G21" s="11" t="s">
        <v>86</v>
      </c>
      <c r="H21" s="11" t="s">
        <v>556</v>
      </c>
      <c r="I21" s="12"/>
    </row>
    <row r="22" spans="1:9" ht="409.5" x14ac:dyDescent="0.15">
      <c r="A22" s="1" t="s">
        <v>39</v>
      </c>
      <c r="B22" s="10">
        <v>13</v>
      </c>
      <c r="C22" s="11" t="s">
        <v>626</v>
      </c>
      <c r="D22" s="12"/>
      <c r="E22" s="11" t="s">
        <v>624</v>
      </c>
      <c r="F22" s="11" t="s">
        <v>611</v>
      </c>
      <c r="G22" s="11" t="s">
        <v>86</v>
      </c>
      <c r="H22" s="11" t="s">
        <v>556</v>
      </c>
      <c r="I22" s="12"/>
    </row>
    <row r="23" spans="1:9" ht="409.5" x14ac:dyDescent="0.15">
      <c r="A23" s="1" t="s">
        <v>39</v>
      </c>
      <c r="B23" s="10">
        <v>14</v>
      </c>
      <c r="C23" s="11" t="s">
        <v>627</v>
      </c>
      <c r="D23" s="12"/>
      <c r="E23" s="11" t="s">
        <v>624</v>
      </c>
      <c r="F23" s="11" t="s">
        <v>611</v>
      </c>
      <c r="G23" s="11" t="s">
        <v>86</v>
      </c>
      <c r="H23" s="11" t="s">
        <v>556</v>
      </c>
      <c r="I23" s="12"/>
    </row>
    <row r="24" spans="1:9" ht="180" x14ac:dyDescent="0.15">
      <c r="A24" s="1" t="s">
        <v>39</v>
      </c>
      <c r="B24" s="10">
        <v>15</v>
      </c>
      <c r="C24" s="11" t="s">
        <v>628</v>
      </c>
      <c r="D24" s="12"/>
      <c r="E24" s="11" t="s">
        <v>624</v>
      </c>
      <c r="F24" s="11" t="s">
        <v>611</v>
      </c>
      <c r="G24" s="11" t="s">
        <v>86</v>
      </c>
      <c r="H24" s="11" t="s">
        <v>234</v>
      </c>
      <c r="I24" s="12"/>
    </row>
    <row r="25" spans="1:9" ht="409.5" x14ac:dyDescent="0.15">
      <c r="A25" s="1" t="s">
        <v>39</v>
      </c>
      <c r="B25" s="10">
        <v>16</v>
      </c>
      <c r="C25" s="11" t="s">
        <v>629</v>
      </c>
      <c r="D25" s="12"/>
      <c r="E25" s="11" t="s">
        <v>630</v>
      </c>
      <c r="F25" s="11" t="s">
        <v>631</v>
      </c>
      <c r="G25" s="11" t="s">
        <v>86</v>
      </c>
      <c r="H25" s="11" t="s">
        <v>564</v>
      </c>
      <c r="I25" s="11" t="s">
        <v>565</v>
      </c>
    </row>
    <row r="26" spans="1:9" ht="409.5" x14ac:dyDescent="0.15">
      <c r="A26" s="1" t="s">
        <v>39</v>
      </c>
      <c r="B26" s="10">
        <v>17</v>
      </c>
      <c r="C26" s="11" t="s">
        <v>632</v>
      </c>
      <c r="D26" s="12"/>
      <c r="E26" s="11" t="s">
        <v>630</v>
      </c>
      <c r="F26" s="11" t="s">
        <v>631</v>
      </c>
      <c r="G26" s="11" t="s">
        <v>86</v>
      </c>
      <c r="H26" s="11" t="s">
        <v>564</v>
      </c>
      <c r="I26" s="12"/>
    </row>
    <row r="27" spans="1:9" ht="409.5" x14ac:dyDescent="0.15">
      <c r="A27" s="1" t="s">
        <v>39</v>
      </c>
      <c r="B27" s="10">
        <v>18</v>
      </c>
      <c r="C27" s="11" t="s">
        <v>633</v>
      </c>
      <c r="D27" s="12"/>
      <c r="E27" s="11" t="s">
        <v>630</v>
      </c>
      <c r="F27" s="11" t="s">
        <v>631</v>
      </c>
      <c r="G27" s="11" t="s">
        <v>86</v>
      </c>
      <c r="H27" s="11" t="s">
        <v>564</v>
      </c>
      <c r="I27" s="12"/>
    </row>
    <row r="28" spans="1:9" ht="204" x14ac:dyDescent="0.15">
      <c r="A28" s="1" t="s">
        <v>39</v>
      </c>
      <c r="B28" s="10">
        <v>19</v>
      </c>
      <c r="C28" s="11" t="s">
        <v>634</v>
      </c>
      <c r="D28" s="12"/>
      <c r="E28" s="11" t="s">
        <v>630</v>
      </c>
      <c r="F28" s="11" t="s">
        <v>631</v>
      </c>
      <c r="G28" s="11" t="s">
        <v>86</v>
      </c>
      <c r="H28" s="11" t="s">
        <v>569</v>
      </c>
      <c r="I28" s="12"/>
    </row>
    <row r="29" spans="1:9" ht="72" x14ac:dyDescent="0.15">
      <c r="A29" s="1" t="s">
        <v>39</v>
      </c>
      <c r="B29" s="10">
        <v>20</v>
      </c>
      <c r="C29" s="11" t="s">
        <v>635</v>
      </c>
      <c r="D29" s="12"/>
      <c r="E29" s="11" t="s">
        <v>630</v>
      </c>
      <c r="F29" s="11" t="s">
        <v>631</v>
      </c>
      <c r="G29" s="11" t="s">
        <v>86</v>
      </c>
      <c r="H29" s="11" t="s">
        <v>622</v>
      </c>
      <c r="I29" s="12"/>
    </row>
    <row r="30" spans="1:9" ht="409.5" x14ac:dyDescent="0.15">
      <c r="A30" s="1" t="s">
        <v>39</v>
      </c>
      <c r="B30" s="10">
        <v>21</v>
      </c>
      <c r="C30" s="11" t="s">
        <v>636</v>
      </c>
      <c r="D30" s="12"/>
      <c r="E30" s="11" t="s">
        <v>637</v>
      </c>
      <c r="F30" s="11" t="s">
        <v>631</v>
      </c>
      <c r="G30" s="11" t="s">
        <v>86</v>
      </c>
      <c r="H30" s="11" t="s">
        <v>572</v>
      </c>
      <c r="I30" s="11" t="s">
        <v>573</v>
      </c>
    </row>
    <row r="31" spans="1:9" ht="409.5" x14ac:dyDescent="0.15">
      <c r="A31" s="1" t="s">
        <v>39</v>
      </c>
      <c r="B31" s="10">
        <v>22</v>
      </c>
      <c r="C31" s="11" t="s">
        <v>638</v>
      </c>
      <c r="D31" s="12"/>
      <c r="E31" s="11" t="s">
        <v>637</v>
      </c>
      <c r="F31" s="11" t="s">
        <v>631</v>
      </c>
      <c r="G31" s="11" t="s">
        <v>86</v>
      </c>
      <c r="H31" s="11" t="s">
        <v>572</v>
      </c>
      <c r="I31" s="12"/>
    </row>
    <row r="32" spans="1:9" ht="409.5" x14ac:dyDescent="0.15">
      <c r="A32" s="1" t="s">
        <v>39</v>
      </c>
      <c r="B32" s="10">
        <v>23</v>
      </c>
      <c r="C32" s="11" t="s">
        <v>639</v>
      </c>
      <c r="D32" s="12"/>
      <c r="E32" s="11" t="s">
        <v>637</v>
      </c>
      <c r="F32" s="11" t="s">
        <v>631</v>
      </c>
      <c r="G32" s="11" t="s">
        <v>86</v>
      </c>
      <c r="H32" s="11" t="s">
        <v>576</v>
      </c>
      <c r="I32" s="12"/>
    </row>
    <row r="33" spans="1:9" ht="409.5" x14ac:dyDescent="0.15">
      <c r="A33" s="1" t="s">
        <v>39</v>
      </c>
      <c r="B33" s="10">
        <v>24</v>
      </c>
      <c r="C33" s="11" t="s">
        <v>640</v>
      </c>
      <c r="D33" s="12"/>
      <c r="E33" s="11" t="s">
        <v>637</v>
      </c>
      <c r="F33" s="11" t="s">
        <v>631</v>
      </c>
      <c r="G33" s="11" t="s">
        <v>86</v>
      </c>
      <c r="H33" s="11" t="s">
        <v>576</v>
      </c>
      <c r="I33" s="12"/>
    </row>
    <row r="34" spans="1:9" ht="180" x14ac:dyDescent="0.15">
      <c r="A34" s="1" t="s">
        <v>39</v>
      </c>
      <c r="B34" s="10">
        <v>25</v>
      </c>
      <c r="C34" s="11" t="s">
        <v>641</v>
      </c>
      <c r="D34" s="12"/>
      <c r="E34" s="11" t="s">
        <v>637</v>
      </c>
      <c r="F34" s="11" t="s">
        <v>631</v>
      </c>
      <c r="G34" s="11" t="s">
        <v>86</v>
      </c>
      <c r="H34" s="11" t="s">
        <v>234</v>
      </c>
      <c r="I34" s="12"/>
    </row>
    <row r="35" spans="1:9" ht="409.5" x14ac:dyDescent="0.15">
      <c r="A35" s="1" t="s">
        <v>39</v>
      </c>
      <c r="B35" s="10">
        <v>26</v>
      </c>
      <c r="C35" s="11" t="s">
        <v>642</v>
      </c>
      <c r="D35" s="12"/>
      <c r="E35" s="11" t="s">
        <v>643</v>
      </c>
      <c r="F35" s="11" t="s">
        <v>631</v>
      </c>
      <c r="G35" s="11" t="s">
        <v>86</v>
      </c>
      <c r="H35" s="11" t="s">
        <v>580</v>
      </c>
      <c r="I35" s="12"/>
    </row>
    <row r="36" spans="1:9" ht="409.5" x14ac:dyDescent="0.15">
      <c r="A36" s="1" t="s">
        <v>39</v>
      </c>
      <c r="B36" s="10">
        <v>27</v>
      </c>
      <c r="C36" s="11" t="s">
        <v>644</v>
      </c>
      <c r="D36" s="12"/>
      <c r="E36" s="11" t="s">
        <v>643</v>
      </c>
      <c r="F36" s="11" t="s">
        <v>631</v>
      </c>
      <c r="G36" s="11" t="s">
        <v>86</v>
      </c>
      <c r="H36" s="11" t="s">
        <v>580</v>
      </c>
      <c r="I36" s="12"/>
    </row>
    <row r="37" spans="1:9" ht="409.5" x14ac:dyDescent="0.15">
      <c r="A37" s="1" t="s">
        <v>39</v>
      </c>
      <c r="B37" s="10">
        <v>28</v>
      </c>
      <c r="C37" s="11" t="s">
        <v>645</v>
      </c>
      <c r="D37" s="12"/>
      <c r="E37" s="11" t="s">
        <v>643</v>
      </c>
      <c r="F37" s="11" t="s">
        <v>631</v>
      </c>
      <c r="G37" s="11" t="s">
        <v>86</v>
      </c>
      <c r="H37" s="11" t="s">
        <v>580</v>
      </c>
      <c r="I37" s="12"/>
    </row>
    <row r="38" spans="1:9" ht="408" x14ac:dyDescent="0.15">
      <c r="A38" s="1" t="s">
        <v>39</v>
      </c>
      <c r="B38" s="10">
        <v>29</v>
      </c>
      <c r="C38" s="11" t="s">
        <v>646</v>
      </c>
      <c r="D38" s="12"/>
      <c r="E38" s="11" t="s">
        <v>643</v>
      </c>
      <c r="F38" s="11" t="s">
        <v>631</v>
      </c>
      <c r="G38" s="11" t="s">
        <v>86</v>
      </c>
      <c r="H38" s="11" t="s">
        <v>584</v>
      </c>
      <c r="I38" s="12"/>
    </row>
    <row r="39" spans="1:9" ht="72" x14ac:dyDescent="0.15">
      <c r="A39" s="1" t="s">
        <v>39</v>
      </c>
      <c r="B39" s="10">
        <v>30</v>
      </c>
      <c r="C39" s="11" t="s">
        <v>647</v>
      </c>
      <c r="D39" s="12"/>
      <c r="E39" s="11" t="s">
        <v>643</v>
      </c>
      <c r="F39" s="11" t="s">
        <v>631</v>
      </c>
      <c r="G39" s="11" t="s">
        <v>86</v>
      </c>
      <c r="H39" s="11" t="s">
        <v>648</v>
      </c>
      <c r="I39" s="12"/>
    </row>
    <row r="40" spans="1:9" ht="409.5" x14ac:dyDescent="0.15">
      <c r="A40" s="1" t="s">
        <v>39</v>
      </c>
      <c r="B40" s="10">
        <v>31</v>
      </c>
      <c r="C40" s="11" t="s">
        <v>649</v>
      </c>
      <c r="D40" s="12"/>
      <c r="E40" s="11" t="s">
        <v>650</v>
      </c>
      <c r="F40" s="11" t="s">
        <v>651</v>
      </c>
      <c r="G40" s="11" t="s">
        <v>86</v>
      </c>
      <c r="H40" s="11" t="s">
        <v>580</v>
      </c>
      <c r="I40" s="12"/>
    </row>
    <row r="41" spans="1:9" ht="409.5" x14ac:dyDescent="0.15">
      <c r="A41" s="1" t="s">
        <v>39</v>
      </c>
      <c r="B41" s="10">
        <v>32</v>
      </c>
      <c r="C41" s="11" t="s">
        <v>652</v>
      </c>
      <c r="D41" s="12"/>
      <c r="E41" s="11" t="s">
        <v>650</v>
      </c>
      <c r="F41" s="11" t="s">
        <v>651</v>
      </c>
      <c r="G41" s="11" t="s">
        <v>86</v>
      </c>
      <c r="H41" s="11" t="s">
        <v>580</v>
      </c>
      <c r="I41" s="12"/>
    </row>
    <row r="42" spans="1:9" ht="409.5" x14ac:dyDescent="0.15">
      <c r="A42" s="1" t="s">
        <v>39</v>
      </c>
      <c r="B42" s="10">
        <v>33</v>
      </c>
      <c r="C42" s="11" t="s">
        <v>653</v>
      </c>
      <c r="D42" s="12"/>
      <c r="E42" s="11" t="s">
        <v>650</v>
      </c>
      <c r="F42" s="11" t="s">
        <v>651</v>
      </c>
      <c r="G42" s="11" t="s">
        <v>86</v>
      </c>
      <c r="H42" s="11" t="s">
        <v>580</v>
      </c>
      <c r="I42" s="12"/>
    </row>
    <row r="43" spans="1:9" ht="409.5" x14ac:dyDescent="0.15">
      <c r="A43" s="1" t="s">
        <v>39</v>
      </c>
      <c r="B43" s="10">
        <v>34</v>
      </c>
      <c r="C43" s="11" t="s">
        <v>654</v>
      </c>
      <c r="D43" s="12"/>
      <c r="E43" s="11" t="s">
        <v>650</v>
      </c>
      <c r="F43" s="11" t="s">
        <v>651</v>
      </c>
      <c r="G43" s="11" t="s">
        <v>86</v>
      </c>
      <c r="H43" s="11" t="s">
        <v>580</v>
      </c>
      <c r="I43" s="12"/>
    </row>
    <row r="44" spans="1:9" ht="180" x14ac:dyDescent="0.15">
      <c r="A44" s="1" t="s">
        <v>39</v>
      </c>
      <c r="B44" s="10">
        <v>35</v>
      </c>
      <c r="C44" s="11" t="s">
        <v>655</v>
      </c>
      <c r="D44" s="12"/>
      <c r="E44" s="11" t="s">
        <v>650</v>
      </c>
      <c r="F44" s="11" t="s">
        <v>651</v>
      </c>
      <c r="G44" s="11" t="s">
        <v>86</v>
      </c>
      <c r="H44" s="11" t="s">
        <v>234</v>
      </c>
      <c r="I44" s="12"/>
    </row>
    <row r="45" spans="1:9" ht="409.5" x14ac:dyDescent="0.15">
      <c r="A45" s="1" t="s">
        <v>39</v>
      </c>
      <c r="B45" s="10">
        <v>36</v>
      </c>
      <c r="C45" s="11" t="s">
        <v>656</v>
      </c>
      <c r="D45" s="12"/>
      <c r="E45" s="11" t="s">
        <v>657</v>
      </c>
      <c r="F45" s="11" t="s">
        <v>651</v>
      </c>
      <c r="G45" s="11" t="s">
        <v>86</v>
      </c>
      <c r="H45" s="11" t="s">
        <v>593</v>
      </c>
      <c r="I45" s="12"/>
    </row>
    <row r="46" spans="1:9" ht="409.5" x14ac:dyDescent="0.15">
      <c r="A46" s="1" t="s">
        <v>39</v>
      </c>
      <c r="B46" s="10">
        <v>37</v>
      </c>
      <c r="C46" s="11" t="s">
        <v>658</v>
      </c>
      <c r="D46" s="12"/>
      <c r="E46" s="11" t="s">
        <v>657</v>
      </c>
      <c r="F46" s="11" t="s">
        <v>651</v>
      </c>
      <c r="G46" s="11" t="s">
        <v>86</v>
      </c>
      <c r="H46" s="11" t="s">
        <v>593</v>
      </c>
      <c r="I46" s="12"/>
    </row>
    <row r="47" spans="1:9" ht="409.5" x14ac:dyDescent="0.15">
      <c r="A47" s="1" t="s">
        <v>39</v>
      </c>
      <c r="B47" s="10">
        <v>38</v>
      </c>
      <c r="C47" s="11" t="s">
        <v>659</v>
      </c>
      <c r="D47" s="12"/>
      <c r="E47" s="11" t="s">
        <v>657</v>
      </c>
      <c r="F47" s="11" t="s">
        <v>651</v>
      </c>
      <c r="G47" s="11" t="s">
        <v>86</v>
      </c>
      <c r="H47" s="11" t="s">
        <v>593</v>
      </c>
      <c r="I47" s="12"/>
    </row>
    <row r="48" spans="1:9" ht="408" x14ac:dyDescent="0.15">
      <c r="A48" s="1" t="s">
        <v>39</v>
      </c>
      <c r="B48" s="10">
        <v>39</v>
      </c>
      <c r="C48" s="11" t="s">
        <v>660</v>
      </c>
      <c r="D48" s="12"/>
      <c r="E48" s="11" t="s">
        <v>657</v>
      </c>
      <c r="F48" s="11" t="s">
        <v>651</v>
      </c>
      <c r="G48" s="11" t="s">
        <v>86</v>
      </c>
      <c r="H48" s="11" t="s">
        <v>584</v>
      </c>
      <c r="I48" s="12"/>
    </row>
    <row r="49" spans="1:9" ht="72" x14ac:dyDescent="0.15">
      <c r="A49" s="1" t="s">
        <v>39</v>
      </c>
      <c r="B49" s="10">
        <v>40</v>
      </c>
      <c r="C49" s="11" t="s">
        <v>661</v>
      </c>
      <c r="D49" s="12"/>
      <c r="E49" s="11" t="s">
        <v>657</v>
      </c>
      <c r="F49" s="11" t="s">
        <v>651</v>
      </c>
      <c r="G49" s="11" t="s">
        <v>86</v>
      </c>
      <c r="H49" s="11" t="s">
        <v>648</v>
      </c>
      <c r="I49" s="12"/>
    </row>
    <row r="50" spans="1:9" ht="409.5" x14ac:dyDescent="0.15">
      <c r="A50" s="1" t="s">
        <v>39</v>
      </c>
      <c r="B50" s="10">
        <v>41</v>
      </c>
      <c r="C50" s="11" t="s">
        <v>662</v>
      </c>
      <c r="D50" s="12"/>
      <c r="E50" s="11" t="s">
        <v>663</v>
      </c>
      <c r="F50" s="11" t="s">
        <v>664</v>
      </c>
      <c r="G50" s="11" t="s">
        <v>86</v>
      </c>
      <c r="H50" s="11" t="s">
        <v>593</v>
      </c>
      <c r="I50" s="12"/>
    </row>
    <row r="51" spans="1:9" ht="409.5" x14ac:dyDescent="0.15">
      <c r="A51" s="1" t="s">
        <v>39</v>
      </c>
      <c r="B51" s="10">
        <v>42</v>
      </c>
      <c r="C51" s="11" t="s">
        <v>665</v>
      </c>
      <c r="D51" s="12"/>
      <c r="E51" s="11" t="s">
        <v>663</v>
      </c>
      <c r="F51" s="11" t="s">
        <v>664</v>
      </c>
      <c r="G51" s="11" t="s">
        <v>86</v>
      </c>
      <c r="H51" s="11" t="s">
        <v>593</v>
      </c>
      <c r="I51" s="12"/>
    </row>
    <row r="52" spans="1:9" ht="409.5" x14ac:dyDescent="0.15">
      <c r="A52" s="1" t="s">
        <v>39</v>
      </c>
      <c r="B52" s="10">
        <v>43</v>
      </c>
      <c r="C52" s="11" t="s">
        <v>666</v>
      </c>
      <c r="D52" s="12"/>
      <c r="E52" s="11" t="s">
        <v>663</v>
      </c>
      <c r="F52" s="11" t="s">
        <v>664</v>
      </c>
      <c r="G52" s="11" t="s">
        <v>86</v>
      </c>
      <c r="H52" s="11" t="s">
        <v>593</v>
      </c>
      <c r="I52" s="12"/>
    </row>
    <row r="53" spans="1:9" ht="409.5" x14ac:dyDescent="0.15">
      <c r="A53" s="1" t="s">
        <v>39</v>
      </c>
      <c r="B53" s="10">
        <v>44</v>
      </c>
      <c r="C53" s="11" t="s">
        <v>667</v>
      </c>
      <c r="D53" s="12"/>
      <c r="E53" s="11" t="s">
        <v>663</v>
      </c>
      <c r="F53" s="11" t="s">
        <v>664</v>
      </c>
      <c r="G53" s="11" t="s">
        <v>86</v>
      </c>
      <c r="H53" s="11" t="s">
        <v>593</v>
      </c>
      <c r="I53" s="12"/>
    </row>
    <row r="54" spans="1:9" ht="180" x14ac:dyDescent="0.15">
      <c r="A54" s="1" t="s">
        <v>39</v>
      </c>
      <c r="B54" s="10">
        <v>45</v>
      </c>
      <c r="C54" s="11" t="s">
        <v>668</v>
      </c>
      <c r="D54" s="12"/>
      <c r="E54" s="11" t="s">
        <v>663</v>
      </c>
      <c r="F54" s="11" t="s">
        <v>664</v>
      </c>
      <c r="G54" s="11" t="s">
        <v>86</v>
      </c>
      <c r="H54" s="11" t="s">
        <v>234</v>
      </c>
      <c r="I54" s="12"/>
    </row>
    <row r="55" spans="1:9" ht="409.5" x14ac:dyDescent="0.15">
      <c r="A55" s="1" t="s">
        <v>39</v>
      </c>
      <c r="B55" s="10">
        <v>46</v>
      </c>
      <c r="C55" s="11" t="s">
        <v>669</v>
      </c>
      <c r="D55" s="12"/>
      <c r="E55" s="11" t="s">
        <v>670</v>
      </c>
      <c r="F55" s="11" t="s">
        <v>664</v>
      </c>
      <c r="G55" s="11" t="s">
        <v>86</v>
      </c>
      <c r="H55" s="11" t="s">
        <v>593</v>
      </c>
      <c r="I55" s="12"/>
    </row>
    <row r="56" spans="1:9" ht="409.5" x14ac:dyDescent="0.15">
      <c r="A56" s="1" t="s">
        <v>39</v>
      </c>
      <c r="B56" s="10">
        <v>47</v>
      </c>
      <c r="C56" s="11" t="s">
        <v>671</v>
      </c>
      <c r="D56" s="12"/>
      <c r="E56" s="11" t="s">
        <v>670</v>
      </c>
      <c r="F56" s="11" t="s">
        <v>664</v>
      </c>
      <c r="G56" s="11" t="s">
        <v>86</v>
      </c>
      <c r="H56" s="11" t="s">
        <v>593</v>
      </c>
      <c r="I56" s="12"/>
    </row>
    <row r="57" spans="1:9" ht="409.5" x14ac:dyDescent="0.15">
      <c r="A57" s="1" t="s">
        <v>39</v>
      </c>
      <c r="B57" s="10">
        <v>48</v>
      </c>
      <c r="C57" s="11" t="s">
        <v>672</v>
      </c>
      <c r="D57" s="12"/>
      <c r="E57" s="11" t="s">
        <v>670</v>
      </c>
      <c r="F57" s="11" t="s">
        <v>664</v>
      </c>
      <c r="G57" s="11" t="s">
        <v>86</v>
      </c>
      <c r="H57" s="11" t="s">
        <v>593</v>
      </c>
      <c r="I57" s="12"/>
    </row>
    <row r="58" spans="1:9" ht="409.5" x14ac:dyDescent="0.15">
      <c r="A58" s="1" t="s">
        <v>39</v>
      </c>
      <c r="B58" s="10">
        <v>49</v>
      </c>
      <c r="C58" s="11" t="s">
        <v>673</v>
      </c>
      <c r="D58" s="12"/>
      <c r="E58" s="11" t="s">
        <v>670</v>
      </c>
      <c r="F58" s="11" t="s">
        <v>664</v>
      </c>
      <c r="G58" s="11" t="s">
        <v>86</v>
      </c>
      <c r="H58" s="11" t="s">
        <v>593</v>
      </c>
      <c r="I58" s="12"/>
    </row>
    <row r="59" spans="1:9" ht="72" x14ac:dyDescent="0.15">
      <c r="A59" s="1" t="s">
        <v>39</v>
      </c>
      <c r="B59" s="10">
        <v>50</v>
      </c>
      <c r="C59" s="11" t="s">
        <v>674</v>
      </c>
      <c r="D59" s="12"/>
      <c r="E59" s="11" t="s">
        <v>670</v>
      </c>
      <c r="F59" s="11" t="s">
        <v>664</v>
      </c>
      <c r="G59" s="11" t="s">
        <v>86</v>
      </c>
      <c r="H59" s="11" t="s">
        <v>283</v>
      </c>
      <c r="I59" s="12"/>
    </row>
    <row r="60" spans="1:9" x14ac:dyDescent="0.15">
      <c r="A60" s="1"/>
      <c r="B60" s="10"/>
    </row>
    <row r="61" spans="1:9" x14ac:dyDescent="0.15">
      <c r="A61" s="1"/>
      <c r="B61" s="10"/>
      <c r="C61" s="1"/>
      <c r="D61" s="1"/>
      <c r="E61" s="1"/>
      <c r="F61" s="1"/>
      <c r="G61" s="1"/>
      <c r="H61" s="1"/>
      <c r="I61" s="1"/>
    </row>
    <row r="62" spans="1:9" x14ac:dyDescent="0.15">
      <c r="A62" s="1"/>
      <c r="B62" s="10"/>
      <c r="C62" s="1"/>
      <c r="D62" s="1"/>
      <c r="E62" s="1"/>
      <c r="F62" s="1"/>
      <c r="G62" s="1"/>
      <c r="H62" s="1"/>
      <c r="I62" s="1"/>
    </row>
    <row r="63" spans="1:9" x14ac:dyDescent="0.15">
      <c r="A63" s="1"/>
      <c r="B63" s="10"/>
      <c r="C63" s="1"/>
      <c r="D63" s="1"/>
      <c r="E63" s="1"/>
      <c r="F63" s="1"/>
      <c r="G63" s="1"/>
      <c r="H63" s="1"/>
      <c r="I63" s="1"/>
    </row>
    <row r="64" spans="1:9" x14ac:dyDescent="0.15">
      <c r="A64" s="1"/>
      <c r="B64" s="10"/>
      <c r="C64" s="1"/>
      <c r="D64" s="1"/>
      <c r="E64" s="1"/>
      <c r="F64" s="1"/>
      <c r="G64" s="1"/>
      <c r="H64" s="1"/>
      <c r="I64" s="1"/>
    </row>
    <row r="65" spans="1:9" x14ac:dyDescent="0.15">
      <c r="A65" s="1"/>
      <c r="B65" s="10"/>
      <c r="C65" s="1"/>
      <c r="D65" s="1"/>
      <c r="E65" s="1"/>
      <c r="F65" s="1"/>
      <c r="G65" s="1"/>
      <c r="H65" s="1"/>
      <c r="I65" s="1"/>
    </row>
    <row r="66" spans="1:9" x14ac:dyDescent="0.15">
      <c r="A66" s="1"/>
      <c r="B66" s="10"/>
      <c r="C66" s="1"/>
      <c r="D66" s="1"/>
      <c r="E66" s="1"/>
      <c r="F66" s="1"/>
      <c r="G66" s="1"/>
      <c r="H66" s="1"/>
      <c r="I66" s="1"/>
    </row>
    <row r="67" spans="1:9" x14ac:dyDescent="0.15">
      <c r="A67" s="1"/>
      <c r="B67" s="10"/>
      <c r="C67" s="1"/>
      <c r="D67" s="1"/>
      <c r="E67" s="1"/>
      <c r="F67" s="1"/>
      <c r="G67" s="1"/>
      <c r="H67" s="1"/>
      <c r="I67" s="1"/>
    </row>
  </sheetData>
  <phoneticPr fontId="35" type="noConversion"/>
  <conditionalFormatting sqref="B1:B3 B5:B67">
    <cfRule type="duplicateValues" dxfId="4" priority="1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V67"/>
  <sheetViews>
    <sheetView workbookViewId="0"/>
  </sheetViews>
  <sheetFormatPr defaultColWidth="9" defaultRowHeight="13.5" x14ac:dyDescent="0.15"/>
  <cols>
    <col min="5" max="5" width="38.75" customWidth="1"/>
    <col min="8" max="8" width="99.625" customWidth="1"/>
    <col min="10" max="10" width="13.125" customWidth="1"/>
    <col min="11" max="11" width="14.5" style="1" customWidth="1"/>
    <col min="16" max="16" width="15.375" customWidth="1"/>
  </cols>
  <sheetData>
    <row r="1" spans="1:22" x14ac:dyDescent="0.15">
      <c r="A1" s="2" t="s">
        <v>38</v>
      </c>
      <c r="B1" s="3" t="s">
        <v>39</v>
      </c>
      <c r="C1" s="3" t="s">
        <v>39</v>
      </c>
      <c r="D1" s="3" t="s">
        <v>39</v>
      </c>
      <c r="E1" s="3" t="s">
        <v>39</v>
      </c>
      <c r="F1" s="3" t="s">
        <v>39</v>
      </c>
      <c r="G1" s="3" t="s">
        <v>39</v>
      </c>
      <c r="H1" s="3" t="s">
        <v>39</v>
      </c>
      <c r="I1" s="3" t="s">
        <v>39</v>
      </c>
      <c r="J1" s="3" t="s">
        <v>39</v>
      </c>
      <c r="K1" s="3" t="s">
        <v>39</v>
      </c>
      <c r="L1" s="3" t="s">
        <v>39</v>
      </c>
      <c r="M1" s="3" t="s">
        <v>39</v>
      </c>
      <c r="N1" s="3" t="s">
        <v>39</v>
      </c>
      <c r="O1" s="3" t="s">
        <v>39</v>
      </c>
      <c r="P1" s="3" t="s">
        <v>39</v>
      </c>
      <c r="Q1" s="3" t="s">
        <v>39</v>
      </c>
      <c r="R1" s="3" t="s">
        <v>39</v>
      </c>
      <c r="S1" s="3" t="s">
        <v>39</v>
      </c>
      <c r="T1" s="3" t="s">
        <v>39</v>
      </c>
      <c r="U1" s="3" t="s">
        <v>39</v>
      </c>
      <c r="V1" s="3" t="s">
        <v>39</v>
      </c>
    </row>
    <row r="2" spans="1:22" x14ac:dyDescent="0.15">
      <c r="A2" s="2" t="s">
        <v>40</v>
      </c>
      <c r="B2" s="3" t="s">
        <v>39</v>
      </c>
      <c r="C2" s="3" t="s">
        <v>39</v>
      </c>
      <c r="D2" s="3" t="s">
        <v>39</v>
      </c>
      <c r="E2" s="3" t="s">
        <v>39</v>
      </c>
      <c r="F2" s="3" t="s">
        <v>39</v>
      </c>
      <c r="G2" s="3" t="s">
        <v>39</v>
      </c>
      <c r="H2" s="3" t="s">
        <v>39</v>
      </c>
      <c r="I2" s="3" t="s">
        <v>39</v>
      </c>
      <c r="J2" s="3" t="s">
        <v>39</v>
      </c>
      <c r="K2" s="3" t="s">
        <v>39</v>
      </c>
      <c r="L2" s="3" t="s">
        <v>39</v>
      </c>
      <c r="M2" s="3" t="s">
        <v>39</v>
      </c>
      <c r="N2" s="3" t="s">
        <v>39</v>
      </c>
      <c r="O2" s="3" t="s">
        <v>39</v>
      </c>
      <c r="P2" s="3" t="s">
        <v>39</v>
      </c>
      <c r="Q2" s="3" t="s">
        <v>39</v>
      </c>
      <c r="R2" s="3" t="s">
        <v>39</v>
      </c>
      <c r="S2" s="3" t="s">
        <v>39</v>
      </c>
      <c r="T2" s="3" t="s">
        <v>39</v>
      </c>
      <c r="U2" s="3" t="s">
        <v>39</v>
      </c>
      <c r="V2" s="3" t="s">
        <v>39</v>
      </c>
    </row>
    <row r="3" spans="1:22" ht="14.25" x14ac:dyDescent="0.15">
      <c r="A3" s="4" t="s">
        <v>39</v>
      </c>
      <c r="B3" s="4" t="s">
        <v>41</v>
      </c>
      <c r="C3" s="5" t="s">
        <v>42</v>
      </c>
      <c r="D3" s="5" t="s">
        <v>42</v>
      </c>
      <c r="E3" s="5" t="s">
        <v>42</v>
      </c>
      <c r="F3" s="5" t="s">
        <v>42</v>
      </c>
      <c r="G3" s="5" t="s">
        <v>42</v>
      </c>
      <c r="H3" s="5" t="s">
        <v>42</v>
      </c>
      <c r="I3" s="5" t="s">
        <v>42</v>
      </c>
      <c r="J3" s="5" t="s">
        <v>41</v>
      </c>
      <c r="K3" s="5" t="s">
        <v>41</v>
      </c>
      <c r="L3" s="5" t="s">
        <v>41</v>
      </c>
      <c r="M3" s="5" t="s">
        <v>41</v>
      </c>
      <c r="N3" s="5" t="s">
        <v>41</v>
      </c>
      <c r="O3" s="5" t="s">
        <v>42</v>
      </c>
      <c r="P3" s="5" t="s">
        <v>41</v>
      </c>
      <c r="Q3" s="5" t="s">
        <v>41</v>
      </c>
      <c r="R3" s="5" t="s">
        <v>41</v>
      </c>
      <c r="S3" s="5" t="s">
        <v>42</v>
      </c>
      <c r="T3" s="5" t="s">
        <v>41</v>
      </c>
      <c r="U3" s="5" t="s">
        <v>981</v>
      </c>
      <c r="V3" s="5" t="s">
        <v>989</v>
      </c>
    </row>
    <row r="4" spans="1:22" ht="14.25" x14ac:dyDescent="0.15">
      <c r="A4" s="4"/>
      <c r="B4" s="4" t="s">
        <v>43</v>
      </c>
      <c r="C4" s="4" t="s">
        <v>188</v>
      </c>
      <c r="D4" s="4" t="s">
        <v>44</v>
      </c>
      <c r="E4" s="4" t="s">
        <v>189</v>
      </c>
      <c r="F4" s="4" t="s">
        <v>190</v>
      </c>
      <c r="G4" s="4" t="s">
        <v>191</v>
      </c>
      <c r="H4" s="4" t="s">
        <v>192</v>
      </c>
      <c r="I4" s="4" t="s">
        <v>193</v>
      </c>
      <c r="J4" s="5" t="s">
        <v>194</v>
      </c>
      <c r="K4" s="5" t="s">
        <v>195</v>
      </c>
      <c r="L4" s="5" t="s">
        <v>196</v>
      </c>
      <c r="M4" s="5" t="s">
        <v>197</v>
      </c>
      <c r="N4" s="5" t="s">
        <v>198</v>
      </c>
      <c r="O4" s="5" t="s">
        <v>199</v>
      </c>
      <c r="P4" s="5" t="s">
        <v>200</v>
      </c>
      <c r="Q4" s="5" t="s">
        <v>201</v>
      </c>
      <c r="R4" s="5" t="s">
        <v>202</v>
      </c>
      <c r="S4" s="5" t="s">
        <v>203</v>
      </c>
      <c r="T4" s="5" t="s">
        <v>204</v>
      </c>
      <c r="U4" s="5" t="s">
        <v>982</v>
      </c>
      <c r="V4" s="5" t="s">
        <v>990</v>
      </c>
    </row>
    <row r="5" spans="1:22" ht="14.25" x14ac:dyDescent="0.15">
      <c r="A5" s="4"/>
      <c r="B5" s="4" t="str">
        <f>IF(B3="","",IF(B3="INT","i",IF(B3="FLOAT","f",IF(B3="STRING","s"))))</f>
        <v>i</v>
      </c>
      <c r="C5" s="5" t="s">
        <v>68</v>
      </c>
      <c r="D5" s="5" t="s">
        <v>68</v>
      </c>
      <c r="E5" s="5" t="s">
        <v>68</v>
      </c>
      <c r="F5" s="5" t="s">
        <v>68</v>
      </c>
      <c r="G5" s="5" t="s">
        <v>68</v>
      </c>
      <c r="H5" s="5" t="s">
        <v>68</v>
      </c>
      <c r="I5" s="5" t="s">
        <v>68</v>
      </c>
      <c r="J5" s="5" t="s">
        <v>67</v>
      </c>
      <c r="K5" s="5" t="s">
        <v>67</v>
      </c>
      <c r="L5" s="5" t="s">
        <v>67</v>
      </c>
      <c r="M5" s="5" t="s">
        <v>67</v>
      </c>
      <c r="N5" s="5" t="s">
        <v>67</v>
      </c>
      <c r="O5" s="5" t="s">
        <v>68</v>
      </c>
      <c r="P5" s="5" t="s">
        <v>67</v>
      </c>
      <c r="Q5" s="5" t="s">
        <v>67</v>
      </c>
      <c r="R5" s="5" t="s">
        <v>67</v>
      </c>
      <c r="S5" s="5" t="s">
        <v>68</v>
      </c>
      <c r="T5" s="5" t="s">
        <v>67</v>
      </c>
      <c r="U5" s="5" t="s">
        <v>67</v>
      </c>
      <c r="V5" s="5" t="s">
        <v>67</v>
      </c>
    </row>
    <row r="6" spans="1:22" ht="14.25" x14ac:dyDescent="0.15">
      <c r="A6" s="4" t="s">
        <v>39</v>
      </c>
      <c r="B6" s="4" t="str">
        <f t="shared" ref="B6:E6" si="0">B5&amp;B4</f>
        <v>iID</v>
      </c>
      <c r="C6" s="5" t="str">
        <f t="shared" si="0"/>
        <v>sRoomID</v>
      </c>
      <c r="D6" s="5" t="str">
        <f t="shared" si="0"/>
        <v>sNotes</v>
      </c>
      <c r="E6" s="5" t="str">
        <f t="shared" si="0"/>
        <v>sAttributes</v>
      </c>
      <c r="F6" s="5" t="str">
        <f t="shared" ref="F6:Q6" si="1">F5&amp;F4</f>
        <v>sMapAttributes</v>
      </c>
      <c r="G6" s="5" t="str">
        <f t="shared" si="1"/>
        <v>sStandardDefence</v>
      </c>
      <c r="H6" s="5" t="str">
        <f t="shared" si="1"/>
        <v>sRoomIDs</v>
      </c>
      <c r="I6" s="5" t="str">
        <f t="shared" si="1"/>
        <v>sRoomIDs1</v>
      </c>
      <c r="J6" s="5" t="str">
        <f t="shared" si="1"/>
        <v>iCheatValue</v>
      </c>
      <c r="K6" s="5" t="str">
        <f t="shared" si="1"/>
        <v>iBattleValue</v>
      </c>
      <c r="L6" s="5" t="str">
        <f t="shared" si="1"/>
        <v>iGoldAdd</v>
      </c>
      <c r="M6" s="5" t="str">
        <f t="shared" si="1"/>
        <v>iExpAdd</v>
      </c>
      <c r="N6" s="5" t="str">
        <f t="shared" si="1"/>
        <v>iAwardHero</v>
      </c>
      <c r="O6" s="5" t="str">
        <f t="shared" si="1"/>
        <v>sOutPut</v>
      </c>
      <c r="P6" s="5" t="str">
        <f t="shared" si="1"/>
        <v>iDropCount</v>
      </c>
      <c r="Q6" s="5" t="str">
        <f t="shared" si="1"/>
        <v>iCatchTime</v>
      </c>
      <c r="R6" s="5" t="str">
        <f t="shared" ref="R6:S6" si="2">R5&amp;R4</f>
        <v>iCatchProb</v>
      </c>
      <c r="S6" s="5" t="str">
        <f t="shared" si="2"/>
        <v>sFirstOutPut</v>
      </c>
      <c r="T6" s="5" t="str">
        <f t="shared" ref="T6:V6" si="3">T5&amp;T4</f>
        <v>iFirstExpAdd</v>
      </c>
      <c r="U6" s="5" t="str">
        <f t="shared" si="3"/>
        <v>iFirstGoldAdd</v>
      </c>
      <c r="V6" s="5" t="str">
        <f t="shared" si="3"/>
        <v>iMonsLv</v>
      </c>
    </row>
    <row r="7" spans="1:22" ht="14.25" x14ac:dyDescent="0.15">
      <c r="A7" s="4"/>
      <c r="B7" s="4" t="s">
        <v>206</v>
      </c>
      <c r="C7" s="6"/>
      <c r="D7" s="6"/>
      <c r="E7" s="6"/>
      <c r="F7" s="6"/>
      <c r="G7" s="6"/>
      <c r="H7" s="6"/>
      <c r="I7" s="6"/>
      <c r="J7" s="6" t="s">
        <v>213</v>
      </c>
      <c r="K7" s="6" t="s">
        <v>214</v>
      </c>
      <c r="L7" s="6" t="s">
        <v>215</v>
      </c>
      <c r="M7" s="6" t="s">
        <v>216</v>
      </c>
      <c r="N7" s="6" t="s">
        <v>217</v>
      </c>
      <c r="O7" s="6" t="s">
        <v>218</v>
      </c>
      <c r="P7" s="6" t="s">
        <v>219</v>
      </c>
      <c r="Q7" s="6" t="s">
        <v>220</v>
      </c>
      <c r="R7" s="6" t="s">
        <v>221</v>
      </c>
      <c r="S7" s="6" t="s">
        <v>222</v>
      </c>
      <c r="T7" s="6" t="s">
        <v>223</v>
      </c>
      <c r="U7" s="6" t="s">
        <v>984</v>
      </c>
      <c r="V7" s="6" t="s">
        <v>991</v>
      </c>
    </row>
    <row r="8" spans="1:22" ht="14.25" x14ac:dyDescent="0.15">
      <c r="A8" s="4" t="s">
        <v>78</v>
      </c>
      <c r="B8" s="4">
        <v>0</v>
      </c>
      <c r="C8" s="6">
        <v>0</v>
      </c>
      <c r="D8" s="6"/>
      <c r="E8" s="6"/>
      <c r="F8" s="6"/>
      <c r="G8" s="6"/>
      <c r="H8" s="6"/>
      <c r="I8" s="6"/>
      <c r="J8" s="6">
        <v>10000</v>
      </c>
      <c r="K8" s="6">
        <v>10000</v>
      </c>
      <c r="L8" s="6">
        <v>0</v>
      </c>
      <c r="M8" s="6">
        <v>0</v>
      </c>
      <c r="N8" s="6"/>
      <c r="O8" s="6"/>
      <c r="P8" s="6">
        <v>0</v>
      </c>
      <c r="Q8" s="6">
        <v>0</v>
      </c>
      <c r="R8" s="6">
        <v>0</v>
      </c>
      <c r="S8" s="6"/>
      <c r="T8" s="6">
        <v>0</v>
      </c>
      <c r="U8" s="6">
        <v>0</v>
      </c>
      <c r="V8" s="6">
        <v>1</v>
      </c>
    </row>
    <row r="9" spans="1:22" ht="14.25" x14ac:dyDescent="0.15">
      <c r="A9" s="7"/>
      <c r="B9" s="7"/>
      <c r="C9" s="8"/>
      <c r="D9" s="8"/>
      <c r="E9" s="9"/>
      <c r="F9" s="8"/>
      <c r="G9" s="8"/>
      <c r="H9" s="8"/>
      <c r="I9" s="8"/>
      <c r="J9" s="8" t="s">
        <v>224</v>
      </c>
      <c r="K9" s="8" t="s">
        <v>224</v>
      </c>
      <c r="L9" s="8"/>
      <c r="M9" s="8"/>
      <c r="N9" s="8"/>
      <c r="O9" s="8" t="s">
        <v>225</v>
      </c>
      <c r="Q9" s="8" t="s">
        <v>284</v>
      </c>
      <c r="R9" s="8" t="s">
        <v>227</v>
      </c>
      <c r="S9" s="8" t="s">
        <v>225</v>
      </c>
      <c r="T9" s="8"/>
    </row>
    <row r="10" spans="1:22" ht="24" x14ac:dyDescent="0.15">
      <c r="A10" s="1" t="s">
        <v>39</v>
      </c>
      <c r="B10" s="10">
        <v>1</v>
      </c>
      <c r="C10" s="11" t="s">
        <v>675</v>
      </c>
      <c r="D10" s="12"/>
      <c r="E10" s="11" t="s">
        <v>676</v>
      </c>
      <c r="F10" s="11" t="s">
        <v>677</v>
      </c>
      <c r="G10" s="11" t="s">
        <v>86</v>
      </c>
      <c r="H10" s="11" t="s">
        <v>678</v>
      </c>
      <c r="I10" s="12"/>
    </row>
    <row r="11" spans="1:22" ht="24" x14ac:dyDescent="0.15">
      <c r="A11" s="1" t="s">
        <v>39</v>
      </c>
      <c r="B11" s="10">
        <v>2</v>
      </c>
      <c r="C11" s="11" t="s">
        <v>679</v>
      </c>
      <c r="D11" s="12"/>
      <c r="E11" s="11" t="s">
        <v>676</v>
      </c>
      <c r="F11" s="11" t="s">
        <v>677</v>
      </c>
      <c r="G11" s="11" t="s">
        <v>86</v>
      </c>
      <c r="H11" s="11" t="s">
        <v>234</v>
      </c>
      <c r="I11" s="12"/>
    </row>
    <row r="12" spans="1:22" ht="24" x14ac:dyDescent="0.15">
      <c r="A12" s="1" t="s">
        <v>39</v>
      </c>
      <c r="B12" s="10">
        <v>3</v>
      </c>
      <c r="C12" s="11" t="s">
        <v>680</v>
      </c>
      <c r="D12" s="12"/>
      <c r="E12" s="11" t="s">
        <v>681</v>
      </c>
      <c r="F12" s="11" t="s">
        <v>677</v>
      </c>
      <c r="G12" s="11" t="s">
        <v>86</v>
      </c>
      <c r="H12" s="11" t="s">
        <v>682</v>
      </c>
      <c r="I12" s="12"/>
    </row>
    <row r="13" spans="1:22" ht="24" x14ac:dyDescent="0.15">
      <c r="A13" s="1" t="s">
        <v>39</v>
      </c>
      <c r="B13" s="10">
        <v>4</v>
      </c>
      <c r="C13" s="11" t="s">
        <v>683</v>
      </c>
      <c r="D13" s="12"/>
      <c r="E13" s="11" t="s">
        <v>681</v>
      </c>
      <c r="F13" s="11" t="s">
        <v>677</v>
      </c>
      <c r="G13" s="11" t="s">
        <v>86</v>
      </c>
      <c r="H13" s="11" t="s">
        <v>234</v>
      </c>
      <c r="I13" s="12"/>
    </row>
    <row r="14" spans="1:22" ht="24" x14ac:dyDescent="0.15">
      <c r="A14" s="1" t="s">
        <v>39</v>
      </c>
      <c r="B14" s="10">
        <v>5</v>
      </c>
      <c r="C14" s="11" t="s">
        <v>684</v>
      </c>
      <c r="D14" s="12"/>
      <c r="E14" s="11" t="s">
        <v>685</v>
      </c>
      <c r="F14" s="11" t="s">
        <v>677</v>
      </c>
      <c r="G14" s="11" t="s">
        <v>86</v>
      </c>
      <c r="H14" s="11" t="s">
        <v>686</v>
      </c>
      <c r="I14" s="12"/>
    </row>
    <row r="15" spans="1:22" ht="24" x14ac:dyDescent="0.15">
      <c r="A15" s="1" t="s">
        <v>39</v>
      </c>
      <c r="B15" s="10">
        <v>6</v>
      </c>
      <c r="C15" s="11" t="s">
        <v>687</v>
      </c>
      <c r="D15" s="12"/>
      <c r="E15" s="11" t="s">
        <v>688</v>
      </c>
      <c r="F15" s="11" t="s">
        <v>677</v>
      </c>
      <c r="G15" s="11" t="s">
        <v>86</v>
      </c>
      <c r="H15" s="11" t="s">
        <v>689</v>
      </c>
      <c r="I15" s="12"/>
    </row>
    <row r="16" spans="1:22" ht="24" x14ac:dyDescent="0.15">
      <c r="A16" s="1" t="s">
        <v>39</v>
      </c>
      <c r="B16" s="10">
        <v>7</v>
      </c>
      <c r="C16" s="11" t="s">
        <v>690</v>
      </c>
      <c r="D16" s="12"/>
      <c r="E16" s="11" t="s">
        <v>691</v>
      </c>
      <c r="F16" s="11" t="s">
        <v>692</v>
      </c>
      <c r="G16" s="11" t="s">
        <v>86</v>
      </c>
      <c r="H16" s="11" t="s">
        <v>234</v>
      </c>
      <c r="I16" s="12"/>
    </row>
    <row r="17" spans="1:9" ht="24" x14ac:dyDescent="0.15">
      <c r="A17" s="1" t="s">
        <v>39</v>
      </c>
      <c r="B17" s="10">
        <v>8</v>
      </c>
      <c r="C17" s="11" t="s">
        <v>693</v>
      </c>
      <c r="D17" s="12"/>
      <c r="E17" s="11" t="s">
        <v>691</v>
      </c>
      <c r="F17" s="11" t="s">
        <v>692</v>
      </c>
      <c r="G17" s="11" t="s">
        <v>86</v>
      </c>
      <c r="H17" s="11" t="s">
        <v>694</v>
      </c>
      <c r="I17" s="12"/>
    </row>
    <row r="18" spans="1:9" ht="24" x14ac:dyDescent="0.15">
      <c r="A18" s="1" t="s">
        <v>39</v>
      </c>
      <c r="B18" s="10">
        <v>9</v>
      </c>
      <c r="C18" s="11" t="s">
        <v>695</v>
      </c>
      <c r="D18" s="12"/>
      <c r="E18" s="11" t="s">
        <v>696</v>
      </c>
      <c r="F18" s="11" t="s">
        <v>692</v>
      </c>
      <c r="G18" s="11" t="s">
        <v>86</v>
      </c>
      <c r="H18" s="11" t="s">
        <v>234</v>
      </c>
      <c r="I18" s="12"/>
    </row>
    <row r="19" spans="1:9" ht="24" x14ac:dyDescent="0.15">
      <c r="A19" s="1" t="s">
        <v>39</v>
      </c>
      <c r="B19" s="10">
        <v>10</v>
      </c>
      <c r="C19" s="11" t="s">
        <v>697</v>
      </c>
      <c r="D19" s="12"/>
      <c r="E19" s="11" t="s">
        <v>698</v>
      </c>
      <c r="F19" s="11" t="s">
        <v>692</v>
      </c>
      <c r="G19" s="11" t="s">
        <v>86</v>
      </c>
      <c r="H19" s="11" t="s">
        <v>699</v>
      </c>
      <c r="I19" s="12"/>
    </row>
    <row r="20" spans="1:9" ht="24" x14ac:dyDescent="0.15">
      <c r="A20" s="1" t="s">
        <v>39</v>
      </c>
      <c r="B20" s="10">
        <v>11</v>
      </c>
      <c r="C20" s="11" t="s">
        <v>700</v>
      </c>
      <c r="D20" s="12"/>
      <c r="E20" s="11" t="s">
        <v>701</v>
      </c>
      <c r="F20" s="11" t="s">
        <v>692</v>
      </c>
      <c r="G20" s="11" t="s">
        <v>86</v>
      </c>
      <c r="H20" s="11" t="s">
        <v>702</v>
      </c>
      <c r="I20" s="12"/>
    </row>
    <row r="21" spans="1:9" ht="24" x14ac:dyDescent="0.15">
      <c r="A21" s="1" t="s">
        <v>39</v>
      </c>
      <c r="B21" s="10">
        <v>12</v>
      </c>
      <c r="C21" s="11" t="s">
        <v>703</v>
      </c>
      <c r="D21" s="12"/>
      <c r="E21" s="11" t="s">
        <v>701</v>
      </c>
      <c r="F21" s="11" t="s">
        <v>692</v>
      </c>
      <c r="G21" s="11" t="s">
        <v>86</v>
      </c>
      <c r="H21" s="11" t="s">
        <v>234</v>
      </c>
      <c r="I21" s="12"/>
    </row>
    <row r="22" spans="1:9" ht="24" x14ac:dyDescent="0.15">
      <c r="A22" s="1" t="s">
        <v>39</v>
      </c>
      <c r="B22" s="10">
        <v>13</v>
      </c>
      <c r="C22" s="11" t="s">
        <v>704</v>
      </c>
      <c r="D22" s="12"/>
      <c r="E22" s="11" t="s">
        <v>705</v>
      </c>
      <c r="F22" s="11" t="s">
        <v>706</v>
      </c>
      <c r="G22" s="11" t="s">
        <v>86</v>
      </c>
      <c r="H22" s="11" t="s">
        <v>707</v>
      </c>
      <c r="I22" s="12"/>
    </row>
    <row r="23" spans="1:9" ht="24" x14ac:dyDescent="0.15">
      <c r="A23" s="1" t="s">
        <v>39</v>
      </c>
      <c r="B23" s="10">
        <v>14</v>
      </c>
      <c r="C23" s="11" t="s">
        <v>708</v>
      </c>
      <c r="D23" s="12"/>
      <c r="E23" s="11" t="s">
        <v>705</v>
      </c>
      <c r="F23" s="11" t="s">
        <v>706</v>
      </c>
      <c r="G23" s="11" t="s">
        <v>86</v>
      </c>
      <c r="H23" s="11" t="s">
        <v>234</v>
      </c>
      <c r="I23" s="12"/>
    </row>
    <row r="24" spans="1:9" ht="24" x14ac:dyDescent="0.15">
      <c r="A24" s="1" t="s">
        <v>39</v>
      </c>
      <c r="B24" s="10">
        <v>15</v>
      </c>
      <c r="C24" s="11" t="s">
        <v>709</v>
      </c>
      <c r="D24" s="12"/>
      <c r="E24" s="11" t="s">
        <v>710</v>
      </c>
      <c r="F24" s="11" t="s">
        <v>706</v>
      </c>
      <c r="G24" s="11" t="s">
        <v>86</v>
      </c>
      <c r="H24" s="11" t="s">
        <v>699</v>
      </c>
      <c r="I24" s="12"/>
    </row>
    <row r="25" spans="1:9" ht="24" x14ac:dyDescent="0.15">
      <c r="A25" s="1" t="s">
        <v>39</v>
      </c>
      <c r="B25" s="10">
        <v>16</v>
      </c>
      <c r="C25" s="11" t="s">
        <v>711</v>
      </c>
      <c r="D25" s="12"/>
      <c r="E25" s="11" t="s">
        <v>712</v>
      </c>
      <c r="F25" s="11" t="s">
        <v>706</v>
      </c>
      <c r="G25" s="11" t="s">
        <v>86</v>
      </c>
      <c r="H25" s="11" t="s">
        <v>713</v>
      </c>
      <c r="I25" s="12"/>
    </row>
    <row r="26" spans="1:9" ht="24" x14ac:dyDescent="0.15">
      <c r="A26" s="1" t="s">
        <v>39</v>
      </c>
      <c r="B26" s="10">
        <v>17</v>
      </c>
      <c r="C26" s="11" t="s">
        <v>714</v>
      </c>
      <c r="D26" s="12"/>
      <c r="E26" s="11" t="s">
        <v>715</v>
      </c>
      <c r="F26" s="11" t="s">
        <v>716</v>
      </c>
      <c r="G26" s="11" t="s">
        <v>86</v>
      </c>
      <c r="H26" s="11" t="s">
        <v>234</v>
      </c>
      <c r="I26" s="12"/>
    </row>
    <row r="27" spans="1:9" ht="24" x14ac:dyDescent="0.15">
      <c r="A27" s="1" t="s">
        <v>39</v>
      </c>
      <c r="B27" s="10">
        <v>18</v>
      </c>
      <c r="C27" s="11" t="s">
        <v>717</v>
      </c>
      <c r="D27" s="12"/>
      <c r="E27" s="11" t="s">
        <v>715</v>
      </c>
      <c r="F27" s="11" t="s">
        <v>716</v>
      </c>
      <c r="G27" s="11" t="s">
        <v>86</v>
      </c>
      <c r="H27" s="11" t="s">
        <v>718</v>
      </c>
      <c r="I27" s="12"/>
    </row>
    <row r="28" spans="1:9" ht="24" x14ac:dyDescent="0.15">
      <c r="A28" s="1" t="s">
        <v>39</v>
      </c>
      <c r="B28" s="10">
        <v>19</v>
      </c>
      <c r="C28" s="11" t="s">
        <v>719</v>
      </c>
      <c r="D28" s="12"/>
      <c r="E28" s="11" t="s">
        <v>720</v>
      </c>
      <c r="F28" s="11" t="s">
        <v>716</v>
      </c>
      <c r="G28" s="11" t="s">
        <v>86</v>
      </c>
      <c r="H28" s="11" t="s">
        <v>234</v>
      </c>
      <c r="I28" s="12"/>
    </row>
    <row r="29" spans="1:9" ht="24" x14ac:dyDescent="0.15">
      <c r="A29" s="1" t="s">
        <v>39</v>
      </c>
      <c r="B29" s="10">
        <v>20</v>
      </c>
      <c r="C29" s="11" t="s">
        <v>721</v>
      </c>
      <c r="D29" s="12"/>
      <c r="E29" s="11" t="s">
        <v>722</v>
      </c>
      <c r="F29" s="11" t="s">
        <v>716</v>
      </c>
      <c r="G29" s="11" t="s">
        <v>86</v>
      </c>
      <c r="H29" s="11" t="s">
        <v>399</v>
      </c>
      <c r="I29" s="12"/>
    </row>
    <row r="30" spans="1:9" x14ac:dyDescent="0.15">
      <c r="A30" s="1"/>
      <c r="B30" s="10"/>
    </row>
    <row r="31" spans="1:9" x14ac:dyDescent="0.15">
      <c r="A31" s="1"/>
      <c r="B31" s="10"/>
      <c r="C31" s="11"/>
      <c r="D31" s="12"/>
      <c r="E31" s="11"/>
      <c r="F31" s="11"/>
      <c r="G31" s="11"/>
      <c r="H31" s="11"/>
      <c r="I31" s="12"/>
    </row>
    <row r="32" spans="1:9" x14ac:dyDescent="0.15">
      <c r="A32" s="1"/>
      <c r="B32" s="10"/>
      <c r="C32" s="11"/>
      <c r="D32" s="12"/>
      <c r="E32" s="11"/>
      <c r="F32" s="11"/>
      <c r="G32" s="11"/>
      <c r="H32" s="11"/>
      <c r="I32" s="11"/>
    </row>
    <row r="33" spans="1:9" x14ac:dyDescent="0.15">
      <c r="A33" s="1"/>
      <c r="B33" s="10"/>
      <c r="C33" s="11"/>
      <c r="D33" s="12"/>
      <c r="E33" s="11"/>
      <c r="F33" s="11"/>
      <c r="G33" s="11"/>
      <c r="H33" s="11"/>
      <c r="I33" s="12"/>
    </row>
    <row r="34" spans="1:9" x14ac:dyDescent="0.15">
      <c r="A34" s="1"/>
      <c r="B34" s="10"/>
      <c r="C34" s="11"/>
      <c r="D34" s="12"/>
      <c r="E34" s="11"/>
      <c r="F34" s="11"/>
      <c r="G34" s="11"/>
      <c r="H34" s="11"/>
      <c r="I34" s="12"/>
    </row>
    <row r="35" spans="1:9" x14ac:dyDescent="0.15">
      <c r="A35" s="1"/>
      <c r="B35" s="10"/>
      <c r="C35" s="11"/>
      <c r="D35" s="12"/>
      <c r="E35" s="11"/>
      <c r="F35" s="11"/>
      <c r="G35" s="11"/>
      <c r="H35" s="11"/>
      <c r="I35" s="12"/>
    </row>
    <row r="36" spans="1:9" x14ac:dyDescent="0.15">
      <c r="A36" s="1"/>
      <c r="B36" s="10"/>
      <c r="C36" s="11"/>
      <c r="D36" s="12"/>
      <c r="E36" s="11"/>
      <c r="F36" s="11"/>
      <c r="G36" s="11"/>
      <c r="H36" s="11"/>
      <c r="I36" s="12"/>
    </row>
    <row r="37" spans="1:9" x14ac:dyDescent="0.15">
      <c r="A37" s="1"/>
      <c r="B37" s="10"/>
      <c r="C37" s="11"/>
      <c r="D37" s="12"/>
      <c r="E37" s="11"/>
      <c r="F37" s="11"/>
      <c r="G37" s="11"/>
      <c r="H37" s="11"/>
      <c r="I37" s="12"/>
    </row>
    <row r="38" spans="1:9" x14ac:dyDescent="0.15">
      <c r="A38" s="1"/>
      <c r="B38" s="10"/>
      <c r="C38" s="11"/>
      <c r="D38" s="12"/>
      <c r="E38" s="11"/>
      <c r="F38" s="11"/>
      <c r="G38" s="11"/>
      <c r="H38" s="11"/>
      <c r="I38" s="12"/>
    </row>
    <row r="39" spans="1:9" x14ac:dyDescent="0.15">
      <c r="A39" s="1"/>
      <c r="B39" s="10"/>
      <c r="C39" s="11"/>
      <c r="D39" s="12"/>
      <c r="E39" s="11"/>
      <c r="F39" s="11"/>
      <c r="G39" s="11"/>
      <c r="H39" s="11"/>
      <c r="I39" s="12"/>
    </row>
    <row r="40" spans="1:9" x14ac:dyDescent="0.15">
      <c r="A40" s="1"/>
      <c r="B40" s="10"/>
      <c r="C40" s="11"/>
      <c r="D40" s="12"/>
      <c r="E40" s="11"/>
      <c r="F40" s="11"/>
      <c r="G40" s="11"/>
      <c r="H40" s="11"/>
      <c r="I40" s="12"/>
    </row>
    <row r="41" spans="1:9" x14ac:dyDescent="0.15">
      <c r="A41" s="1"/>
      <c r="B41" s="10"/>
      <c r="C41" s="11"/>
      <c r="D41" s="12"/>
      <c r="E41" s="11"/>
      <c r="F41" s="11"/>
      <c r="G41" s="11"/>
      <c r="H41" s="11"/>
      <c r="I41" s="12"/>
    </row>
    <row r="42" spans="1:9" x14ac:dyDescent="0.15">
      <c r="A42" s="1"/>
      <c r="B42" s="10"/>
      <c r="C42" s="11"/>
      <c r="D42" s="12"/>
      <c r="E42" s="11"/>
      <c r="F42" s="11"/>
      <c r="G42" s="11"/>
      <c r="H42" s="11"/>
      <c r="I42" s="12"/>
    </row>
    <row r="43" spans="1:9" x14ac:dyDescent="0.15">
      <c r="A43" s="1"/>
      <c r="B43" s="10"/>
      <c r="C43" s="11"/>
      <c r="D43" s="12"/>
      <c r="E43" s="11"/>
      <c r="F43" s="11"/>
      <c r="G43" s="11"/>
      <c r="H43" s="11"/>
      <c r="I43" s="12"/>
    </row>
    <row r="44" spans="1:9" x14ac:dyDescent="0.15">
      <c r="A44" s="1"/>
      <c r="B44" s="10"/>
      <c r="C44" s="11"/>
      <c r="D44" s="12"/>
      <c r="E44" s="11"/>
      <c r="F44" s="11"/>
      <c r="G44" s="11"/>
      <c r="H44" s="11"/>
      <c r="I44" s="12"/>
    </row>
    <row r="45" spans="1:9" x14ac:dyDescent="0.15">
      <c r="A45" s="1"/>
      <c r="B45" s="10"/>
      <c r="C45" s="11"/>
      <c r="D45" s="12"/>
      <c r="E45" s="11"/>
      <c r="F45" s="11"/>
      <c r="G45" s="11"/>
      <c r="H45" s="11"/>
      <c r="I45" s="12"/>
    </row>
    <row r="46" spans="1:9" x14ac:dyDescent="0.15">
      <c r="A46" s="1"/>
      <c r="B46" s="10"/>
      <c r="C46" s="11"/>
      <c r="D46" s="12"/>
      <c r="E46" s="11"/>
      <c r="F46" s="11"/>
      <c r="G46" s="11"/>
      <c r="H46" s="11"/>
      <c r="I46" s="12"/>
    </row>
    <row r="47" spans="1:9" x14ac:dyDescent="0.15">
      <c r="A47" s="1"/>
      <c r="B47" s="10"/>
      <c r="C47" s="11"/>
      <c r="D47" s="12"/>
      <c r="E47" s="11"/>
      <c r="F47" s="11"/>
      <c r="G47" s="11"/>
      <c r="H47" s="11"/>
      <c r="I47" s="12"/>
    </row>
    <row r="48" spans="1:9" x14ac:dyDescent="0.15">
      <c r="A48" s="1"/>
      <c r="B48" s="10"/>
      <c r="C48" s="11"/>
      <c r="D48" s="12"/>
      <c r="E48" s="11"/>
      <c r="F48" s="11"/>
      <c r="G48" s="11"/>
      <c r="H48" s="11"/>
      <c r="I48" s="12"/>
    </row>
    <row r="49" spans="1:9" x14ac:dyDescent="0.15">
      <c r="A49" s="1"/>
      <c r="B49" s="10"/>
      <c r="C49" s="11"/>
      <c r="D49" s="12"/>
      <c r="E49" s="11"/>
      <c r="F49" s="11"/>
      <c r="G49" s="11"/>
      <c r="H49" s="11"/>
      <c r="I49" s="12"/>
    </row>
    <row r="50" spans="1:9" x14ac:dyDescent="0.15">
      <c r="A50" s="1"/>
      <c r="B50" s="10"/>
      <c r="C50" s="11"/>
      <c r="D50" s="12"/>
      <c r="E50" s="11"/>
      <c r="F50" s="11"/>
      <c r="G50" s="11"/>
      <c r="H50" s="11"/>
      <c r="I50" s="12"/>
    </row>
    <row r="51" spans="1:9" x14ac:dyDescent="0.15">
      <c r="A51" s="1"/>
      <c r="B51" s="10"/>
      <c r="C51" s="11"/>
      <c r="D51" s="12"/>
      <c r="E51" s="11"/>
      <c r="F51" s="11"/>
      <c r="G51" s="11"/>
      <c r="H51" s="11"/>
      <c r="I51" s="12"/>
    </row>
    <row r="52" spans="1:9" x14ac:dyDescent="0.15">
      <c r="A52" s="1"/>
      <c r="B52" s="10"/>
      <c r="C52" s="11"/>
      <c r="D52" s="12"/>
      <c r="E52" s="11"/>
      <c r="F52" s="11"/>
      <c r="G52" s="11"/>
      <c r="H52" s="11"/>
      <c r="I52" s="12"/>
    </row>
    <row r="53" spans="1:9" x14ac:dyDescent="0.15">
      <c r="A53" s="1"/>
      <c r="B53" s="10"/>
      <c r="C53" s="11"/>
      <c r="D53" s="12"/>
      <c r="E53" s="11"/>
      <c r="F53" s="11"/>
      <c r="G53" s="11"/>
      <c r="H53" s="11"/>
      <c r="I53" s="12"/>
    </row>
    <row r="54" spans="1:9" x14ac:dyDescent="0.15">
      <c r="A54" s="1"/>
      <c r="B54" s="10"/>
      <c r="C54" s="11"/>
      <c r="D54" s="12"/>
      <c r="E54" s="11"/>
      <c r="F54" s="11"/>
      <c r="G54" s="11"/>
      <c r="H54" s="11"/>
      <c r="I54" s="12"/>
    </row>
    <row r="55" spans="1:9" x14ac:dyDescent="0.15">
      <c r="A55" s="1"/>
      <c r="B55" s="10"/>
      <c r="C55" s="11"/>
      <c r="D55" s="12"/>
      <c r="E55" s="11"/>
      <c r="F55" s="11"/>
      <c r="G55" s="11"/>
      <c r="H55" s="11"/>
      <c r="I55" s="12"/>
    </row>
    <row r="56" spans="1:9" x14ac:dyDescent="0.15">
      <c r="A56" s="1"/>
      <c r="B56" s="10"/>
      <c r="C56" s="11"/>
      <c r="D56" s="12"/>
      <c r="E56" s="11"/>
      <c r="F56" s="11"/>
      <c r="G56" s="11"/>
      <c r="H56" s="11"/>
      <c r="I56" s="12"/>
    </row>
    <row r="57" spans="1:9" x14ac:dyDescent="0.15">
      <c r="A57" s="1"/>
      <c r="B57" s="10"/>
      <c r="C57" s="11"/>
      <c r="D57" s="12"/>
      <c r="E57" s="11"/>
      <c r="F57" s="11"/>
      <c r="G57" s="11"/>
      <c r="H57" s="11"/>
      <c r="I57" s="12"/>
    </row>
    <row r="58" spans="1:9" x14ac:dyDescent="0.15">
      <c r="A58" s="1"/>
      <c r="B58" s="10"/>
      <c r="C58" s="11"/>
      <c r="D58" s="12"/>
      <c r="E58" s="11"/>
      <c r="F58" s="11"/>
      <c r="G58" s="11"/>
      <c r="H58" s="11"/>
      <c r="I58" s="12"/>
    </row>
    <row r="59" spans="1:9" x14ac:dyDescent="0.15">
      <c r="A59" s="1"/>
      <c r="B59" s="10"/>
      <c r="C59" s="11"/>
      <c r="D59" s="12"/>
      <c r="E59" s="11"/>
      <c r="F59" s="11"/>
      <c r="G59" s="11"/>
      <c r="H59" s="11"/>
      <c r="I59" s="12"/>
    </row>
    <row r="60" spans="1:9" x14ac:dyDescent="0.15">
      <c r="A60" s="1"/>
      <c r="B60" s="10"/>
      <c r="C60" s="1"/>
      <c r="D60" s="1"/>
      <c r="E60" s="1"/>
      <c r="F60" s="1"/>
      <c r="G60" s="1"/>
      <c r="H60" s="1"/>
      <c r="I60" s="1"/>
    </row>
    <row r="61" spans="1:9" x14ac:dyDescent="0.15">
      <c r="A61" s="1"/>
      <c r="B61" s="10"/>
      <c r="C61" s="1"/>
      <c r="D61" s="1"/>
      <c r="E61" s="1"/>
      <c r="F61" s="1"/>
      <c r="G61" s="1"/>
      <c r="H61" s="1"/>
      <c r="I61" s="1"/>
    </row>
    <row r="62" spans="1:9" x14ac:dyDescent="0.15">
      <c r="A62" s="1"/>
      <c r="B62" s="10"/>
      <c r="C62" s="1"/>
      <c r="D62" s="1"/>
      <c r="E62" s="1"/>
      <c r="F62" s="1"/>
      <c r="G62" s="1"/>
      <c r="H62" s="1"/>
      <c r="I62" s="1"/>
    </row>
    <row r="63" spans="1:9" x14ac:dyDescent="0.15">
      <c r="A63" s="1"/>
      <c r="B63" s="10"/>
      <c r="C63" s="1"/>
      <c r="D63" s="1"/>
      <c r="E63" s="1"/>
      <c r="F63" s="1"/>
      <c r="G63" s="1"/>
      <c r="H63" s="1"/>
      <c r="I63" s="1"/>
    </row>
    <row r="64" spans="1:9" x14ac:dyDescent="0.15">
      <c r="A64" s="1"/>
      <c r="B64" s="10"/>
      <c r="C64" s="1"/>
      <c r="D64" s="1"/>
      <c r="E64" s="1"/>
      <c r="F64" s="1"/>
      <c r="G64" s="1"/>
      <c r="H64" s="1"/>
      <c r="I64" s="1"/>
    </row>
    <row r="65" spans="1:9" x14ac:dyDescent="0.15">
      <c r="A65" s="1"/>
      <c r="B65" s="10"/>
      <c r="C65" s="1"/>
      <c r="D65" s="1"/>
      <c r="E65" s="1"/>
      <c r="F65" s="1"/>
      <c r="G65" s="1"/>
      <c r="H65" s="1"/>
      <c r="I65" s="1"/>
    </row>
    <row r="66" spans="1:9" x14ac:dyDescent="0.15">
      <c r="A66" s="1"/>
      <c r="B66" s="10"/>
      <c r="C66" s="1"/>
      <c r="D66" s="1"/>
      <c r="E66" s="1"/>
      <c r="F66" s="1"/>
      <c r="G66" s="1"/>
      <c r="H66" s="1"/>
      <c r="I66" s="1"/>
    </row>
    <row r="67" spans="1:9" x14ac:dyDescent="0.15">
      <c r="A67" s="1"/>
      <c r="B67" s="10"/>
      <c r="C67" s="1"/>
      <c r="D67" s="1"/>
      <c r="E67" s="1"/>
      <c r="F67" s="1"/>
      <c r="G67" s="1"/>
      <c r="H67" s="1"/>
      <c r="I67" s="1"/>
    </row>
  </sheetData>
  <phoneticPr fontId="35" type="noConversion"/>
  <conditionalFormatting sqref="B1:B3 B5:B67">
    <cfRule type="duplicateValues" dxfId="3" priority="1"/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V67"/>
  <sheetViews>
    <sheetView workbookViewId="0"/>
  </sheetViews>
  <sheetFormatPr defaultColWidth="9" defaultRowHeight="13.5" x14ac:dyDescent="0.15"/>
  <cols>
    <col min="10" max="10" width="13.125" customWidth="1"/>
    <col min="11" max="11" width="14.5" style="1" customWidth="1"/>
    <col min="16" max="16" width="15.375" customWidth="1"/>
  </cols>
  <sheetData>
    <row r="1" spans="1:22" x14ac:dyDescent="0.15">
      <c r="A1" s="2" t="s">
        <v>38</v>
      </c>
      <c r="B1" s="3" t="s">
        <v>39</v>
      </c>
      <c r="C1" s="3" t="s">
        <v>39</v>
      </c>
      <c r="D1" s="3" t="s">
        <v>39</v>
      </c>
      <c r="E1" s="3" t="s">
        <v>39</v>
      </c>
      <c r="F1" s="3" t="s">
        <v>39</v>
      </c>
      <c r="G1" s="3" t="s">
        <v>39</v>
      </c>
      <c r="H1" s="3" t="s">
        <v>39</v>
      </c>
      <c r="I1" s="3" t="s">
        <v>39</v>
      </c>
      <c r="J1" s="3" t="s">
        <v>39</v>
      </c>
      <c r="K1" s="3" t="s">
        <v>39</v>
      </c>
      <c r="L1" s="3" t="s">
        <v>39</v>
      </c>
      <c r="M1" s="3" t="s">
        <v>39</v>
      </c>
      <c r="N1" s="3" t="s">
        <v>39</v>
      </c>
      <c r="O1" s="3" t="s">
        <v>39</v>
      </c>
      <c r="P1" s="3" t="s">
        <v>39</v>
      </c>
      <c r="Q1" s="3" t="s">
        <v>39</v>
      </c>
      <c r="R1" s="3" t="s">
        <v>39</v>
      </c>
      <c r="S1" s="3" t="s">
        <v>39</v>
      </c>
      <c r="T1" s="3" t="s">
        <v>39</v>
      </c>
      <c r="U1" s="3" t="s">
        <v>39</v>
      </c>
      <c r="V1" s="3" t="s">
        <v>39</v>
      </c>
    </row>
    <row r="2" spans="1:22" x14ac:dyDescent="0.15">
      <c r="A2" s="2" t="s">
        <v>40</v>
      </c>
      <c r="B2" s="3" t="s">
        <v>39</v>
      </c>
      <c r="C2" s="3" t="s">
        <v>39</v>
      </c>
      <c r="D2" s="3" t="s">
        <v>39</v>
      </c>
      <c r="E2" s="3" t="s">
        <v>39</v>
      </c>
      <c r="F2" s="3" t="s">
        <v>39</v>
      </c>
      <c r="G2" s="3" t="s">
        <v>39</v>
      </c>
      <c r="H2" s="3" t="s">
        <v>39</v>
      </c>
      <c r="I2" s="3" t="s">
        <v>39</v>
      </c>
      <c r="J2" s="3" t="s">
        <v>39</v>
      </c>
      <c r="K2" s="3" t="s">
        <v>39</v>
      </c>
      <c r="L2" s="3" t="s">
        <v>39</v>
      </c>
      <c r="M2" s="3" t="s">
        <v>39</v>
      </c>
      <c r="N2" s="3" t="s">
        <v>39</v>
      </c>
      <c r="O2" s="3" t="s">
        <v>39</v>
      </c>
      <c r="P2" s="3" t="s">
        <v>39</v>
      </c>
      <c r="Q2" s="3" t="s">
        <v>39</v>
      </c>
      <c r="R2" s="3" t="s">
        <v>39</v>
      </c>
      <c r="S2" s="3" t="s">
        <v>39</v>
      </c>
      <c r="T2" s="3" t="s">
        <v>39</v>
      </c>
      <c r="U2" s="3" t="s">
        <v>39</v>
      </c>
      <c r="V2" s="3" t="s">
        <v>39</v>
      </c>
    </row>
    <row r="3" spans="1:22" ht="14.25" x14ac:dyDescent="0.15">
      <c r="A3" s="4" t="s">
        <v>39</v>
      </c>
      <c r="B3" s="4" t="s">
        <v>41</v>
      </c>
      <c r="C3" s="5" t="s">
        <v>42</v>
      </c>
      <c r="D3" s="5" t="s">
        <v>42</v>
      </c>
      <c r="E3" s="5" t="s">
        <v>42</v>
      </c>
      <c r="F3" s="5" t="s">
        <v>42</v>
      </c>
      <c r="G3" s="5" t="s">
        <v>42</v>
      </c>
      <c r="H3" s="5" t="s">
        <v>42</v>
      </c>
      <c r="I3" s="5" t="s">
        <v>42</v>
      </c>
      <c r="J3" s="5" t="s">
        <v>41</v>
      </c>
      <c r="K3" s="5" t="s">
        <v>41</v>
      </c>
      <c r="L3" s="5" t="s">
        <v>41</v>
      </c>
      <c r="M3" s="5" t="s">
        <v>41</v>
      </c>
      <c r="N3" s="5" t="s">
        <v>41</v>
      </c>
      <c r="O3" s="5" t="s">
        <v>42</v>
      </c>
      <c r="P3" s="5" t="s">
        <v>41</v>
      </c>
      <c r="Q3" s="5" t="s">
        <v>41</v>
      </c>
      <c r="R3" s="5" t="s">
        <v>41</v>
      </c>
      <c r="S3" s="5" t="s">
        <v>42</v>
      </c>
      <c r="T3" s="5" t="s">
        <v>41</v>
      </c>
      <c r="U3" s="5" t="s">
        <v>981</v>
      </c>
      <c r="V3" s="5" t="s">
        <v>989</v>
      </c>
    </row>
    <row r="4" spans="1:22" ht="14.25" x14ac:dyDescent="0.15">
      <c r="A4" s="4"/>
      <c r="B4" s="4" t="s">
        <v>43</v>
      </c>
      <c r="C4" s="4" t="s">
        <v>188</v>
      </c>
      <c r="D4" s="4" t="s">
        <v>44</v>
      </c>
      <c r="E4" s="4" t="s">
        <v>189</v>
      </c>
      <c r="F4" s="4" t="s">
        <v>190</v>
      </c>
      <c r="G4" s="4" t="s">
        <v>191</v>
      </c>
      <c r="H4" s="4" t="s">
        <v>192</v>
      </c>
      <c r="I4" s="4" t="s">
        <v>193</v>
      </c>
      <c r="J4" s="5" t="s">
        <v>194</v>
      </c>
      <c r="K4" s="5" t="s">
        <v>195</v>
      </c>
      <c r="L4" s="5" t="s">
        <v>196</v>
      </c>
      <c r="M4" s="5" t="s">
        <v>197</v>
      </c>
      <c r="N4" s="5" t="s">
        <v>198</v>
      </c>
      <c r="O4" s="5" t="s">
        <v>199</v>
      </c>
      <c r="P4" s="5" t="s">
        <v>200</v>
      </c>
      <c r="Q4" s="5" t="s">
        <v>201</v>
      </c>
      <c r="R4" s="5" t="s">
        <v>202</v>
      </c>
      <c r="S4" s="5" t="s">
        <v>203</v>
      </c>
      <c r="T4" s="5" t="s">
        <v>204</v>
      </c>
      <c r="U4" s="5" t="s">
        <v>982</v>
      </c>
      <c r="V4" s="5" t="s">
        <v>990</v>
      </c>
    </row>
    <row r="5" spans="1:22" ht="14.25" x14ac:dyDescent="0.15">
      <c r="A5" s="4"/>
      <c r="B5" s="4" t="str">
        <f>IF(B3="","",IF(B3="INT","i",IF(B3="FLOAT","f",IF(B3="STRING","s"))))</f>
        <v>i</v>
      </c>
      <c r="C5" s="5" t="s">
        <v>68</v>
      </c>
      <c r="D5" s="5" t="s">
        <v>68</v>
      </c>
      <c r="E5" s="5" t="s">
        <v>68</v>
      </c>
      <c r="F5" s="5" t="s">
        <v>68</v>
      </c>
      <c r="G5" s="5" t="s">
        <v>68</v>
      </c>
      <c r="H5" s="5" t="s">
        <v>68</v>
      </c>
      <c r="I5" s="5" t="s">
        <v>68</v>
      </c>
      <c r="J5" s="5" t="s">
        <v>67</v>
      </c>
      <c r="K5" s="5" t="s">
        <v>67</v>
      </c>
      <c r="L5" s="5" t="s">
        <v>67</v>
      </c>
      <c r="M5" s="5" t="s">
        <v>67</v>
      </c>
      <c r="N5" s="5" t="s">
        <v>67</v>
      </c>
      <c r="O5" s="5" t="s">
        <v>68</v>
      </c>
      <c r="P5" s="5" t="s">
        <v>67</v>
      </c>
      <c r="Q5" s="5" t="s">
        <v>67</v>
      </c>
      <c r="R5" s="5" t="s">
        <v>67</v>
      </c>
      <c r="S5" s="5" t="s">
        <v>68</v>
      </c>
      <c r="T5" s="5" t="s">
        <v>67</v>
      </c>
      <c r="U5" s="5" t="s">
        <v>67</v>
      </c>
      <c r="V5" s="5" t="s">
        <v>67</v>
      </c>
    </row>
    <row r="6" spans="1:22" ht="14.25" x14ac:dyDescent="0.15">
      <c r="A6" s="4" t="s">
        <v>39</v>
      </c>
      <c r="B6" s="4" t="str">
        <f t="shared" ref="B6:E6" si="0">B5&amp;B4</f>
        <v>iID</v>
      </c>
      <c r="C6" s="5" t="str">
        <f t="shared" si="0"/>
        <v>sRoomID</v>
      </c>
      <c r="D6" s="5" t="str">
        <f t="shared" si="0"/>
        <v>sNotes</v>
      </c>
      <c r="E6" s="5" t="str">
        <f t="shared" si="0"/>
        <v>sAttributes</v>
      </c>
      <c r="F6" s="5" t="str">
        <f t="shared" ref="F6:Q6" si="1">F5&amp;F4</f>
        <v>sMapAttributes</v>
      </c>
      <c r="G6" s="5" t="str">
        <f t="shared" si="1"/>
        <v>sStandardDefence</v>
      </c>
      <c r="H6" s="5" t="str">
        <f t="shared" si="1"/>
        <v>sRoomIDs</v>
      </c>
      <c r="I6" s="5" t="str">
        <f t="shared" si="1"/>
        <v>sRoomIDs1</v>
      </c>
      <c r="J6" s="5" t="str">
        <f t="shared" si="1"/>
        <v>iCheatValue</v>
      </c>
      <c r="K6" s="5" t="str">
        <f t="shared" si="1"/>
        <v>iBattleValue</v>
      </c>
      <c r="L6" s="5" t="str">
        <f t="shared" si="1"/>
        <v>iGoldAdd</v>
      </c>
      <c r="M6" s="5" t="str">
        <f t="shared" si="1"/>
        <v>iExpAdd</v>
      </c>
      <c r="N6" s="5" t="str">
        <f t="shared" si="1"/>
        <v>iAwardHero</v>
      </c>
      <c r="O6" s="5" t="str">
        <f t="shared" si="1"/>
        <v>sOutPut</v>
      </c>
      <c r="P6" s="5" t="str">
        <f t="shared" si="1"/>
        <v>iDropCount</v>
      </c>
      <c r="Q6" s="5" t="str">
        <f t="shared" si="1"/>
        <v>iCatchTime</v>
      </c>
      <c r="R6" s="5" t="str">
        <f t="shared" ref="R6:S6" si="2">R5&amp;R4</f>
        <v>iCatchProb</v>
      </c>
      <c r="S6" s="5" t="str">
        <f t="shared" si="2"/>
        <v>sFirstOutPut</v>
      </c>
      <c r="T6" s="5" t="str">
        <f t="shared" ref="T6:V6" si="3">T5&amp;T4</f>
        <v>iFirstExpAdd</v>
      </c>
      <c r="U6" s="5" t="str">
        <f t="shared" si="3"/>
        <v>iFirstGoldAdd</v>
      </c>
      <c r="V6" s="5" t="str">
        <f t="shared" si="3"/>
        <v>iMonsLv</v>
      </c>
    </row>
    <row r="7" spans="1:22" ht="14.25" x14ac:dyDescent="0.15">
      <c r="A7" s="4"/>
      <c r="B7" s="4" t="s">
        <v>206</v>
      </c>
      <c r="C7" s="6"/>
      <c r="D7" s="6"/>
      <c r="E7" s="6"/>
      <c r="F7" s="6"/>
      <c r="G7" s="6"/>
      <c r="H7" s="6"/>
      <c r="I7" s="6"/>
      <c r="J7" s="6" t="s">
        <v>213</v>
      </c>
      <c r="K7" s="6" t="s">
        <v>214</v>
      </c>
      <c r="L7" s="6" t="s">
        <v>215</v>
      </c>
      <c r="M7" s="6" t="s">
        <v>216</v>
      </c>
      <c r="N7" s="6" t="s">
        <v>217</v>
      </c>
      <c r="O7" s="6" t="s">
        <v>218</v>
      </c>
      <c r="P7" s="6" t="s">
        <v>219</v>
      </c>
      <c r="Q7" s="6" t="s">
        <v>220</v>
      </c>
      <c r="R7" s="6" t="s">
        <v>221</v>
      </c>
      <c r="S7" s="6" t="s">
        <v>222</v>
      </c>
      <c r="T7" s="6" t="s">
        <v>223</v>
      </c>
      <c r="U7" s="6" t="s">
        <v>984</v>
      </c>
      <c r="V7" s="6" t="s">
        <v>991</v>
      </c>
    </row>
    <row r="8" spans="1:22" ht="14.25" x14ac:dyDescent="0.15">
      <c r="A8" s="4" t="s">
        <v>78</v>
      </c>
      <c r="B8" s="4">
        <v>0</v>
      </c>
      <c r="C8" s="6">
        <v>0</v>
      </c>
      <c r="D8" s="6"/>
      <c r="E8" s="6"/>
      <c r="F8" s="6"/>
      <c r="G8" s="6">
        <v>0</v>
      </c>
      <c r="H8" s="6"/>
      <c r="I8" s="6"/>
      <c r="J8" s="6">
        <v>10000</v>
      </c>
      <c r="K8" s="6">
        <v>10000</v>
      </c>
      <c r="L8" s="6">
        <v>0</v>
      </c>
      <c r="M8" s="6">
        <v>0</v>
      </c>
      <c r="N8" s="6"/>
      <c r="O8" s="6"/>
      <c r="P8" s="6">
        <v>0</v>
      </c>
      <c r="Q8" s="6">
        <v>0</v>
      </c>
      <c r="R8" s="6">
        <v>0</v>
      </c>
      <c r="S8" s="6"/>
      <c r="T8" s="6">
        <v>0</v>
      </c>
      <c r="U8" s="6">
        <v>0</v>
      </c>
      <c r="V8" s="6">
        <v>1</v>
      </c>
    </row>
    <row r="9" spans="1:22" ht="14.25" x14ac:dyDescent="0.15">
      <c r="A9" s="7"/>
      <c r="B9" s="7"/>
      <c r="C9" s="8"/>
      <c r="D9" s="8"/>
      <c r="E9" s="9"/>
      <c r="F9" s="8"/>
      <c r="G9" s="8"/>
      <c r="H9" s="8"/>
      <c r="I9" s="8"/>
      <c r="J9" s="8" t="s">
        <v>224</v>
      </c>
      <c r="K9" s="8" t="s">
        <v>224</v>
      </c>
      <c r="L9" s="8"/>
      <c r="M9" s="8"/>
      <c r="N9" s="8"/>
      <c r="O9" s="8" t="s">
        <v>225</v>
      </c>
      <c r="Q9" s="8" t="s">
        <v>284</v>
      </c>
      <c r="R9" s="8" t="s">
        <v>227</v>
      </c>
      <c r="S9" s="8" t="s">
        <v>225</v>
      </c>
      <c r="T9" s="8"/>
    </row>
    <row r="10" spans="1:22" ht="300" x14ac:dyDescent="0.15">
      <c r="A10" s="1" t="s">
        <v>39</v>
      </c>
      <c r="B10" s="10">
        <v>1</v>
      </c>
      <c r="C10" s="11" t="s">
        <v>723</v>
      </c>
      <c r="D10" s="12"/>
      <c r="E10" s="11" t="s">
        <v>724</v>
      </c>
      <c r="F10" s="11" t="s">
        <v>725</v>
      </c>
      <c r="G10" s="11" t="s">
        <v>86</v>
      </c>
      <c r="H10" s="11" t="s">
        <v>726</v>
      </c>
      <c r="I10" s="12"/>
    </row>
    <row r="11" spans="1:22" ht="300" x14ac:dyDescent="0.15">
      <c r="A11" s="1" t="s">
        <v>39</v>
      </c>
      <c r="B11" s="10">
        <v>2</v>
      </c>
      <c r="C11" s="11" t="s">
        <v>727</v>
      </c>
      <c r="D11" s="12"/>
      <c r="E11" s="11" t="s">
        <v>724</v>
      </c>
      <c r="F11" s="11" t="s">
        <v>725</v>
      </c>
      <c r="G11" s="11" t="s">
        <v>86</v>
      </c>
      <c r="H11" s="11" t="s">
        <v>726</v>
      </c>
      <c r="I11" s="12"/>
    </row>
    <row r="12" spans="1:22" ht="300" x14ac:dyDescent="0.15">
      <c r="A12" s="1" t="s">
        <v>39</v>
      </c>
      <c r="B12" s="10">
        <v>3</v>
      </c>
      <c r="C12" s="11" t="s">
        <v>728</v>
      </c>
      <c r="D12" s="12"/>
      <c r="E12" s="11" t="s">
        <v>724</v>
      </c>
      <c r="F12" s="11" t="s">
        <v>725</v>
      </c>
      <c r="G12" s="11" t="s">
        <v>86</v>
      </c>
      <c r="H12" s="11" t="s">
        <v>729</v>
      </c>
      <c r="I12" s="12"/>
    </row>
    <row r="13" spans="1:22" ht="300" x14ac:dyDescent="0.15">
      <c r="A13" s="1" t="s">
        <v>39</v>
      </c>
      <c r="B13" s="10">
        <v>4</v>
      </c>
      <c r="C13" s="11" t="s">
        <v>730</v>
      </c>
      <c r="D13" s="12"/>
      <c r="E13" s="11" t="s">
        <v>731</v>
      </c>
      <c r="F13" s="11" t="s">
        <v>725</v>
      </c>
      <c r="G13" s="11" t="s">
        <v>86</v>
      </c>
      <c r="H13" s="11" t="s">
        <v>729</v>
      </c>
      <c r="I13" s="12"/>
    </row>
    <row r="14" spans="1:22" ht="180" x14ac:dyDescent="0.15">
      <c r="A14" s="1" t="s">
        <v>39</v>
      </c>
      <c r="B14" s="10">
        <v>5</v>
      </c>
      <c r="C14" s="11" t="s">
        <v>732</v>
      </c>
      <c r="D14" s="12"/>
      <c r="E14" s="11" t="s">
        <v>731</v>
      </c>
      <c r="F14" s="11" t="s">
        <v>725</v>
      </c>
      <c r="G14" s="11" t="s">
        <v>86</v>
      </c>
      <c r="H14" s="11" t="s">
        <v>234</v>
      </c>
      <c r="I14" s="12"/>
    </row>
    <row r="15" spans="1:22" ht="408" x14ac:dyDescent="0.15">
      <c r="A15" s="1" t="s">
        <v>39</v>
      </c>
      <c r="B15" s="10">
        <v>6</v>
      </c>
      <c r="C15" s="11" t="s">
        <v>733</v>
      </c>
      <c r="D15" s="12"/>
      <c r="E15" s="11" t="s">
        <v>731</v>
      </c>
      <c r="F15" s="11" t="s">
        <v>725</v>
      </c>
      <c r="G15" s="11" t="s">
        <v>86</v>
      </c>
      <c r="H15" s="11" t="s">
        <v>734</v>
      </c>
      <c r="I15" s="12"/>
    </row>
    <row r="16" spans="1:22" ht="408" x14ac:dyDescent="0.15">
      <c r="A16" s="1" t="s">
        <v>39</v>
      </c>
      <c r="B16" s="10">
        <v>7</v>
      </c>
      <c r="C16" s="11" t="s">
        <v>735</v>
      </c>
      <c r="D16" s="12"/>
      <c r="E16" s="11" t="s">
        <v>736</v>
      </c>
      <c r="F16" s="11" t="s">
        <v>725</v>
      </c>
      <c r="G16" s="11" t="s">
        <v>86</v>
      </c>
      <c r="H16" s="11" t="s">
        <v>734</v>
      </c>
      <c r="I16" s="12"/>
    </row>
    <row r="17" spans="1:9" ht="408" x14ac:dyDescent="0.15">
      <c r="A17" s="1" t="s">
        <v>39</v>
      </c>
      <c r="B17" s="10">
        <v>8</v>
      </c>
      <c r="C17" s="11" t="s">
        <v>737</v>
      </c>
      <c r="D17" s="12"/>
      <c r="E17" s="11" t="s">
        <v>736</v>
      </c>
      <c r="F17" s="11" t="s">
        <v>725</v>
      </c>
      <c r="G17" s="11" t="s">
        <v>86</v>
      </c>
      <c r="H17" s="11" t="s">
        <v>734</v>
      </c>
      <c r="I17" s="12"/>
    </row>
    <row r="18" spans="1:9" ht="108" x14ac:dyDescent="0.15">
      <c r="A18" s="1" t="s">
        <v>39</v>
      </c>
      <c r="B18" s="10">
        <v>9</v>
      </c>
      <c r="C18" s="11" t="s">
        <v>738</v>
      </c>
      <c r="D18" s="12"/>
      <c r="E18" s="11" t="s">
        <v>736</v>
      </c>
      <c r="F18" s="11" t="s">
        <v>725</v>
      </c>
      <c r="G18" s="11" t="s">
        <v>86</v>
      </c>
      <c r="H18" s="11" t="s">
        <v>739</v>
      </c>
      <c r="I18" s="12"/>
    </row>
    <row r="19" spans="1:9" ht="108" x14ac:dyDescent="0.15">
      <c r="A19" s="1" t="s">
        <v>39</v>
      </c>
      <c r="B19" s="10">
        <v>10</v>
      </c>
      <c r="C19" s="11" t="s">
        <v>740</v>
      </c>
      <c r="D19" s="12"/>
      <c r="E19" s="11" t="s">
        <v>741</v>
      </c>
      <c r="F19" s="11" t="s">
        <v>742</v>
      </c>
      <c r="G19" s="11" t="s">
        <v>86</v>
      </c>
      <c r="H19" s="11" t="s">
        <v>622</v>
      </c>
      <c r="I19" s="12"/>
    </row>
    <row r="20" spans="1:9" ht="408" x14ac:dyDescent="0.15">
      <c r="A20" s="1" t="s">
        <v>39</v>
      </c>
      <c r="B20" s="10">
        <v>11</v>
      </c>
      <c r="C20" s="11" t="s">
        <v>743</v>
      </c>
      <c r="D20" s="12"/>
      <c r="E20" s="11" t="s">
        <v>741</v>
      </c>
      <c r="F20" s="11" t="s">
        <v>742</v>
      </c>
      <c r="G20" s="11" t="s">
        <v>86</v>
      </c>
      <c r="H20" s="11" t="s">
        <v>744</v>
      </c>
      <c r="I20" s="12"/>
    </row>
    <row r="21" spans="1:9" ht="408" x14ac:dyDescent="0.15">
      <c r="A21" s="1" t="s">
        <v>39</v>
      </c>
      <c r="B21" s="10">
        <v>12</v>
      </c>
      <c r="C21" s="11" t="s">
        <v>745</v>
      </c>
      <c r="D21" s="12"/>
      <c r="E21" s="11" t="s">
        <v>741</v>
      </c>
      <c r="F21" s="11" t="s">
        <v>742</v>
      </c>
      <c r="G21" s="11" t="s">
        <v>86</v>
      </c>
      <c r="H21" s="11" t="s">
        <v>744</v>
      </c>
      <c r="I21" s="12"/>
    </row>
    <row r="22" spans="1:9" ht="408" x14ac:dyDescent="0.15">
      <c r="A22" s="1" t="s">
        <v>39</v>
      </c>
      <c r="B22" s="10">
        <v>13</v>
      </c>
      <c r="C22" s="11" t="s">
        <v>746</v>
      </c>
      <c r="D22" s="12"/>
      <c r="E22" s="11" t="s">
        <v>747</v>
      </c>
      <c r="F22" s="11" t="s">
        <v>742</v>
      </c>
      <c r="G22" s="11" t="s">
        <v>86</v>
      </c>
      <c r="H22" s="11" t="s">
        <v>744</v>
      </c>
      <c r="I22" s="12"/>
    </row>
    <row r="23" spans="1:9" ht="408" x14ac:dyDescent="0.15">
      <c r="A23" s="1" t="s">
        <v>39</v>
      </c>
      <c r="B23" s="10">
        <v>14</v>
      </c>
      <c r="C23" s="11" t="s">
        <v>748</v>
      </c>
      <c r="D23" s="12"/>
      <c r="E23" s="11" t="s">
        <v>747</v>
      </c>
      <c r="F23" s="11" t="s">
        <v>742</v>
      </c>
      <c r="G23" s="11" t="s">
        <v>86</v>
      </c>
      <c r="H23" s="11" t="s">
        <v>744</v>
      </c>
      <c r="I23" s="12"/>
    </row>
    <row r="24" spans="1:9" ht="180" x14ac:dyDescent="0.15">
      <c r="A24" s="1" t="s">
        <v>39</v>
      </c>
      <c r="B24" s="10">
        <v>15</v>
      </c>
      <c r="C24" s="11" t="s">
        <v>749</v>
      </c>
      <c r="D24" s="12"/>
      <c r="E24" s="11" t="s">
        <v>747</v>
      </c>
      <c r="F24" s="11" t="s">
        <v>742</v>
      </c>
      <c r="G24" s="11" t="s">
        <v>86</v>
      </c>
      <c r="H24" s="11" t="s">
        <v>234</v>
      </c>
      <c r="I24" s="12"/>
    </row>
    <row r="25" spans="1:9" ht="408" x14ac:dyDescent="0.15">
      <c r="A25" s="1" t="s">
        <v>39</v>
      </c>
      <c r="B25" s="10">
        <v>16</v>
      </c>
      <c r="C25" s="11" t="s">
        <v>750</v>
      </c>
      <c r="D25" s="12"/>
      <c r="E25" s="11" t="s">
        <v>751</v>
      </c>
      <c r="F25" s="11" t="s">
        <v>742</v>
      </c>
      <c r="G25" s="11" t="s">
        <v>86</v>
      </c>
      <c r="H25" s="11" t="s">
        <v>752</v>
      </c>
      <c r="I25" s="12"/>
    </row>
    <row r="26" spans="1:9" ht="408" x14ac:dyDescent="0.15">
      <c r="A26" s="1" t="s">
        <v>39</v>
      </c>
      <c r="B26" s="10">
        <v>17</v>
      </c>
      <c r="C26" s="11" t="s">
        <v>753</v>
      </c>
      <c r="D26" s="12"/>
      <c r="E26" s="11" t="s">
        <v>751</v>
      </c>
      <c r="F26" s="11" t="s">
        <v>742</v>
      </c>
      <c r="G26" s="11" t="s">
        <v>86</v>
      </c>
      <c r="H26" s="11" t="s">
        <v>752</v>
      </c>
      <c r="I26" s="12"/>
    </row>
    <row r="27" spans="1:9" ht="408" x14ac:dyDescent="0.15">
      <c r="A27" s="1" t="s">
        <v>39</v>
      </c>
      <c r="B27" s="10">
        <v>18</v>
      </c>
      <c r="C27" s="11" t="s">
        <v>754</v>
      </c>
      <c r="D27" s="12"/>
      <c r="E27" s="11" t="s">
        <v>751</v>
      </c>
      <c r="F27" s="11" t="s">
        <v>742</v>
      </c>
      <c r="G27" s="11" t="s">
        <v>86</v>
      </c>
      <c r="H27" s="11" t="s">
        <v>752</v>
      </c>
      <c r="I27" s="12"/>
    </row>
    <row r="28" spans="1:9" ht="204" x14ac:dyDescent="0.15">
      <c r="A28" s="1" t="s">
        <v>39</v>
      </c>
      <c r="B28" s="10">
        <v>19</v>
      </c>
      <c r="C28" s="11" t="s">
        <v>755</v>
      </c>
      <c r="D28" s="12"/>
      <c r="E28" s="11" t="s">
        <v>756</v>
      </c>
      <c r="F28" s="11" t="s">
        <v>757</v>
      </c>
      <c r="G28" s="11" t="s">
        <v>86</v>
      </c>
      <c r="H28" s="11" t="s">
        <v>758</v>
      </c>
      <c r="I28" s="12"/>
    </row>
    <row r="29" spans="1:9" ht="108" x14ac:dyDescent="0.15">
      <c r="A29" s="1" t="s">
        <v>39</v>
      </c>
      <c r="B29" s="10">
        <v>20</v>
      </c>
      <c r="C29" s="11" t="s">
        <v>759</v>
      </c>
      <c r="D29" s="12"/>
      <c r="E29" s="11" t="s">
        <v>756</v>
      </c>
      <c r="F29" s="11" t="s">
        <v>757</v>
      </c>
      <c r="G29" s="11" t="s">
        <v>86</v>
      </c>
      <c r="H29" s="11" t="s">
        <v>622</v>
      </c>
      <c r="I29" s="12"/>
    </row>
    <row r="30" spans="1:9" ht="408" x14ac:dyDescent="0.15">
      <c r="A30" s="1" t="s">
        <v>39</v>
      </c>
      <c r="B30" s="10">
        <v>21</v>
      </c>
      <c r="C30" s="11" t="s">
        <v>760</v>
      </c>
      <c r="D30" s="12"/>
      <c r="E30" s="11" t="s">
        <v>756</v>
      </c>
      <c r="F30" s="11" t="s">
        <v>757</v>
      </c>
      <c r="G30" s="11" t="s">
        <v>86</v>
      </c>
      <c r="H30" s="11" t="s">
        <v>761</v>
      </c>
      <c r="I30" s="12"/>
    </row>
    <row r="31" spans="1:9" ht="408" x14ac:dyDescent="0.15">
      <c r="A31" s="1" t="s">
        <v>39</v>
      </c>
      <c r="B31" s="10">
        <v>22</v>
      </c>
      <c r="C31" s="11" t="s">
        <v>762</v>
      </c>
      <c r="D31" s="12"/>
      <c r="E31" s="11" t="s">
        <v>763</v>
      </c>
      <c r="F31" s="11" t="s">
        <v>757</v>
      </c>
      <c r="G31" s="11" t="s">
        <v>86</v>
      </c>
      <c r="H31" s="11" t="s">
        <v>761</v>
      </c>
      <c r="I31" s="12"/>
    </row>
    <row r="32" spans="1:9" ht="408" x14ac:dyDescent="0.15">
      <c r="A32" s="1" t="s">
        <v>39</v>
      </c>
      <c r="B32" s="10">
        <v>23</v>
      </c>
      <c r="C32" s="11" t="s">
        <v>764</v>
      </c>
      <c r="D32" s="12"/>
      <c r="E32" s="11" t="s">
        <v>763</v>
      </c>
      <c r="F32" s="11" t="s">
        <v>757</v>
      </c>
      <c r="G32" s="11" t="s">
        <v>86</v>
      </c>
      <c r="H32" s="11" t="s">
        <v>761</v>
      </c>
      <c r="I32" s="12"/>
    </row>
    <row r="33" spans="1:9" ht="408" x14ac:dyDescent="0.15">
      <c r="A33" s="1" t="s">
        <v>39</v>
      </c>
      <c r="B33" s="10">
        <v>24</v>
      </c>
      <c r="C33" s="11" t="s">
        <v>765</v>
      </c>
      <c r="D33" s="12"/>
      <c r="E33" s="11" t="s">
        <v>763</v>
      </c>
      <c r="F33" s="11" t="s">
        <v>757</v>
      </c>
      <c r="G33" s="11" t="s">
        <v>86</v>
      </c>
      <c r="H33" s="11" t="s">
        <v>761</v>
      </c>
      <c r="I33" s="12"/>
    </row>
    <row r="34" spans="1:9" ht="180" x14ac:dyDescent="0.15">
      <c r="A34" s="1" t="s">
        <v>39</v>
      </c>
      <c r="B34" s="10">
        <v>25</v>
      </c>
      <c r="C34" s="11" t="s">
        <v>766</v>
      </c>
      <c r="D34" s="12"/>
      <c r="E34" s="11" t="s">
        <v>767</v>
      </c>
      <c r="F34" s="11" t="s">
        <v>768</v>
      </c>
      <c r="G34" s="11" t="s">
        <v>86</v>
      </c>
      <c r="H34" s="11" t="s">
        <v>234</v>
      </c>
      <c r="I34" s="12"/>
    </row>
    <row r="35" spans="1:9" ht="408" x14ac:dyDescent="0.15">
      <c r="A35" s="1" t="s">
        <v>39</v>
      </c>
      <c r="B35" s="10">
        <v>26</v>
      </c>
      <c r="C35" s="11" t="s">
        <v>769</v>
      </c>
      <c r="D35" s="12"/>
      <c r="E35" s="11" t="s">
        <v>767</v>
      </c>
      <c r="F35" s="11" t="s">
        <v>768</v>
      </c>
      <c r="G35" s="11" t="s">
        <v>86</v>
      </c>
      <c r="H35" s="11" t="s">
        <v>761</v>
      </c>
      <c r="I35" s="12"/>
    </row>
    <row r="36" spans="1:9" ht="408" x14ac:dyDescent="0.15">
      <c r="A36" s="1" t="s">
        <v>39</v>
      </c>
      <c r="B36" s="10">
        <v>27</v>
      </c>
      <c r="C36" s="11" t="s">
        <v>770</v>
      </c>
      <c r="D36" s="12"/>
      <c r="E36" s="11" t="s">
        <v>767</v>
      </c>
      <c r="F36" s="11" t="s">
        <v>768</v>
      </c>
      <c r="G36" s="11" t="s">
        <v>86</v>
      </c>
      <c r="H36" s="11" t="s">
        <v>761</v>
      </c>
      <c r="I36" s="12"/>
    </row>
    <row r="37" spans="1:9" ht="408" x14ac:dyDescent="0.15">
      <c r="A37" s="1" t="s">
        <v>39</v>
      </c>
      <c r="B37" s="10">
        <v>28</v>
      </c>
      <c r="C37" s="11" t="s">
        <v>771</v>
      </c>
      <c r="D37" s="12"/>
      <c r="E37" s="11" t="s">
        <v>772</v>
      </c>
      <c r="F37" s="11" t="s">
        <v>768</v>
      </c>
      <c r="G37" s="11" t="s">
        <v>86</v>
      </c>
      <c r="H37" s="11" t="s">
        <v>761</v>
      </c>
      <c r="I37" s="12"/>
    </row>
    <row r="38" spans="1:9" ht="204" x14ac:dyDescent="0.15">
      <c r="A38" s="1" t="s">
        <v>39</v>
      </c>
      <c r="B38" s="10">
        <v>29</v>
      </c>
      <c r="C38" s="11" t="s">
        <v>773</v>
      </c>
      <c r="D38" s="12"/>
      <c r="E38" s="11" t="s">
        <v>772</v>
      </c>
      <c r="F38" s="11" t="s">
        <v>768</v>
      </c>
      <c r="G38" s="11" t="s">
        <v>86</v>
      </c>
      <c r="H38" s="11" t="s">
        <v>758</v>
      </c>
      <c r="I38" s="12"/>
    </row>
    <row r="39" spans="1:9" ht="108" x14ac:dyDescent="0.15">
      <c r="A39" s="1" t="s">
        <v>39</v>
      </c>
      <c r="B39" s="10">
        <v>30</v>
      </c>
      <c r="C39" s="11" t="s">
        <v>774</v>
      </c>
      <c r="D39" s="12"/>
      <c r="E39" s="11" t="s">
        <v>772</v>
      </c>
      <c r="F39" s="11" t="s">
        <v>768</v>
      </c>
      <c r="G39" s="11" t="s">
        <v>86</v>
      </c>
      <c r="H39" s="11" t="s">
        <v>775</v>
      </c>
      <c r="I39" s="12"/>
    </row>
    <row r="40" spans="1:9" x14ac:dyDescent="0.15">
      <c r="A40" s="1"/>
      <c r="B40" s="10"/>
      <c r="C40" s="11"/>
      <c r="D40" s="12"/>
      <c r="E40" s="11"/>
      <c r="F40" s="11"/>
      <c r="G40" s="11"/>
      <c r="H40" s="11"/>
      <c r="I40" s="12"/>
    </row>
    <row r="41" spans="1:9" x14ac:dyDescent="0.15">
      <c r="A41" s="1"/>
      <c r="B41" s="10"/>
      <c r="C41" s="11"/>
      <c r="D41" s="12"/>
      <c r="E41" s="11"/>
      <c r="F41" s="11"/>
      <c r="G41" s="11"/>
      <c r="H41" s="11"/>
      <c r="I41" s="12"/>
    </row>
    <row r="42" spans="1:9" x14ac:dyDescent="0.15">
      <c r="A42" s="1"/>
      <c r="B42" s="10"/>
      <c r="C42" s="11"/>
      <c r="D42" s="12"/>
      <c r="E42" s="11"/>
      <c r="F42" s="11"/>
      <c r="G42" s="11"/>
      <c r="H42" s="11"/>
      <c r="I42" s="12"/>
    </row>
    <row r="43" spans="1:9" x14ac:dyDescent="0.15">
      <c r="A43" s="1"/>
      <c r="B43" s="10"/>
      <c r="C43" s="11"/>
      <c r="D43" s="12"/>
      <c r="E43" s="11"/>
      <c r="F43" s="11"/>
      <c r="G43" s="11"/>
      <c r="H43" s="11"/>
      <c r="I43" s="12"/>
    </row>
    <row r="44" spans="1:9" x14ac:dyDescent="0.15">
      <c r="A44" s="1"/>
      <c r="B44" s="10"/>
      <c r="C44" s="11"/>
      <c r="D44" s="12"/>
      <c r="E44" s="11"/>
      <c r="F44" s="11"/>
      <c r="G44" s="11"/>
      <c r="H44" s="11"/>
      <c r="I44" s="12"/>
    </row>
    <row r="45" spans="1:9" x14ac:dyDescent="0.15">
      <c r="A45" s="1"/>
      <c r="B45" s="10"/>
      <c r="C45" s="11"/>
      <c r="D45" s="12"/>
      <c r="E45" s="11"/>
      <c r="F45" s="11"/>
      <c r="G45" s="11"/>
      <c r="H45" s="11"/>
      <c r="I45" s="12"/>
    </row>
    <row r="46" spans="1:9" x14ac:dyDescent="0.15">
      <c r="A46" s="1"/>
      <c r="B46" s="10"/>
      <c r="C46" s="11"/>
      <c r="D46" s="12"/>
      <c r="E46" s="11"/>
      <c r="F46" s="11"/>
      <c r="G46" s="11"/>
      <c r="H46" s="11"/>
      <c r="I46" s="12"/>
    </row>
    <row r="47" spans="1:9" x14ac:dyDescent="0.15">
      <c r="A47" s="1"/>
      <c r="B47" s="10"/>
      <c r="C47" s="11"/>
      <c r="D47" s="12"/>
      <c r="E47" s="11"/>
      <c r="F47" s="11"/>
      <c r="G47" s="11"/>
      <c r="H47" s="11"/>
      <c r="I47" s="12"/>
    </row>
    <row r="48" spans="1:9" x14ac:dyDescent="0.15">
      <c r="A48" s="1"/>
      <c r="B48" s="10"/>
      <c r="C48" s="11"/>
      <c r="D48" s="12"/>
      <c r="E48" s="11"/>
      <c r="F48" s="11"/>
      <c r="G48" s="11"/>
      <c r="H48" s="11"/>
      <c r="I48" s="12"/>
    </row>
    <row r="49" spans="1:9" x14ac:dyDescent="0.15">
      <c r="A49" s="1"/>
      <c r="B49" s="10"/>
      <c r="C49" s="11"/>
      <c r="D49" s="12"/>
      <c r="E49" s="11"/>
      <c r="F49" s="11"/>
      <c r="G49" s="11"/>
      <c r="H49" s="11"/>
      <c r="I49" s="12"/>
    </row>
    <row r="50" spans="1:9" x14ac:dyDescent="0.15">
      <c r="A50" s="1"/>
      <c r="B50" s="10"/>
      <c r="C50" s="11"/>
      <c r="D50" s="12"/>
      <c r="E50" s="11"/>
      <c r="F50" s="11"/>
      <c r="G50" s="11"/>
      <c r="H50" s="11"/>
      <c r="I50" s="12"/>
    </row>
    <row r="51" spans="1:9" x14ac:dyDescent="0.15">
      <c r="A51" s="1"/>
      <c r="B51" s="10"/>
      <c r="C51" s="11"/>
      <c r="D51" s="12"/>
      <c r="E51" s="11"/>
      <c r="F51" s="11"/>
      <c r="G51" s="11"/>
      <c r="H51" s="11"/>
      <c r="I51" s="12"/>
    </row>
    <row r="52" spans="1:9" x14ac:dyDescent="0.15">
      <c r="A52" s="1"/>
      <c r="B52" s="10"/>
      <c r="C52" s="11"/>
      <c r="D52" s="12"/>
      <c r="E52" s="11"/>
      <c r="F52" s="11"/>
      <c r="G52" s="11"/>
      <c r="H52" s="11"/>
      <c r="I52" s="12"/>
    </row>
    <row r="53" spans="1:9" x14ac:dyDescent="0.15">
      <c r="A53" s="1"/>
      <c r="B53" s="10"/>
      <c r="C53" s="11"/>
      <c r="D53" s="12"/>
      <c r="E53" s="11"/>
      <c r="F53" s="11"/>
      <c r="G53" s="11"/>
      <c r="H53" s="11"/>
      <c r="I53" s="12"/>
    </row>
    <row r="54" spans="1:9" x14ac:dyDescent="0.15">
      <c r="A54" s="1"/>
      <c r="B54" s="10"/>
      <c r="C54" s="11"/>
      <c r="D54" s="12"/>
      <c r="E54" s="11"/>
      <c r="F54" s="11"/>
      <c r="G54" s="11"/>
      <c r="H54" s="11"/>
      <c r="I54" s="12"/>
    </row>
    <row r="55" spans="1:9" x14ac:dyDescent="0.15">
      <c r="A55" s="1"/>
      <c r="B55" s="10"/>
      <c r="C55" s="11"/>
      <c r="D55" s="12"/>
      <c r="E55" s="11"/>
      <c r="F55" s="11"/>
      <c r="G55" s="11"/>
      <c r="H55" s="11"/>
      <c r="I55" s="12"/>
    </row>
    <row r="56" spans="1:9" x14ac:dyDescent="0.15">
      <c r="A56" s="1"/>
      <c r="B56" s="10"/>
      <c r="C56" s="11"/>
      <c r="D56" s="12"/>
      <c r="E56" s="11"/>
      <c r="F56" s="11"/>
      <c r="G56" s="11"/>
      <c r="H56" s="11"/>
      <c r="I56" s="12"/>
    </row>
    <row r="57" spans="1:9" x14ac:dyDescent="0.15">
      <c r="A57" s="1"/>
      <c r="B57" s="10"/>
      <c r="C57" s="11"/>
      <c r="D57" s="12"/>
      <c r="E57" s="11"/>
      <c r="F57" s="11"/>
      <c r="G57" s="11"/>
      <c r="H57" s="11"/>
      <c r="I57" s="12"/>
    </row>
    <row r="58" spans="1:9" x14ac:dyDescent="0.15">
      <c r="A58" s="1"/>
      <c r="B58" s="10"/>
      <c r="C58" s="11"/>
      <c r="D58" s="12"/>
      <c r="E58" s="11"/>
      <c r="F58" s="11"/>
      <c r="G58" s="11"/>
      <c r="H58" s="11"/>
      <c r="I58" s="12"/>
    </row>
    <row r="59" spans="1:9" x14ac:dyDescent="0.15">
      <c r="A59" s="1"/>
      <c r="B59" s="10"/>
      <c r="C59" s="11"/>
      <c r="D59" s="12"/>
      <c r="E59" s="11"/>
      <c r="F59" s="11"/>
      <c r="G59" s="11"/>
      <c r="H59" s="11"/>
      <c r="I59" s="12"/>
    </row>
    <row r="60" spans="1:9" x14ac:dyDescent="0.15">
      <c r="A60" s="1"/>
      <c r="B60" s="10"/>
      <c r="C60" s="1"/>
      <c r="D60" s="1"/>
      <c r="E60" s="1"/>
      <c r="F60" s="1"/>
      <c r="G60" s="1"/>
      <c r="H60" s="1"/>
      <c r="I60" s="1"/>
    </row>
    <row r="61" spans="1:9" x14ac:dyDescent="0.15">
      <c r="A61" s="1"/>
      <c r="B61" s="10"/>
      <c r="C61" s="1"/>
      <c r="D61" s="1"/>
      <c r="E61" s="1"/>
      <c r="F61" s="1"/>
      <c r="G61" s="1"/>
      <c r="H61" s="1"/>
      <c r="I61" s="1"/>
    </row>
    <row r="62" spans="1:9" x14ac:dyDescent="0.15">
      <c r="A62" s="1"/>
      <c r="B62" s="10"/>
      <c r="C62" s="1"/>
      <c r="D62" s="1"/>
      <c r="E62" s="1"/>
      <c r="F62" s="1"/>
      <c r="G62" s="1"/>
      <c r="H62" s="1"/>
      <c r="I62" s="1"/>
    </row>
    <row r="63" spans="1:9" x14ac:dyDescent="0.15">
      <c r="A63" s="1"/>
      <c r="B63" s="10"/>
      <c r="C63" s="1"/>
      <c r="D63" s="1"/>
      <c r="E63" s="1"/>
      <c r="F63" s="1"/>
      <c r="G63" s="1"/>
      <c r="H63" s="1"/>
      <c r="I63" s="1"/>
    </row>
    <row r="64" spans="1:9" x14ac:dyDescent="0.15">
      <c r="A64" s="1"/>
      <c r="B64" s="10"/>
      <c r="C64" s="1"/>
      <c r="D64" s="1"/>
      <c r="E64" s="1"/>
      <c r="F64" s="1"/>
      <c r="G64" s="1"/>
      <c r="H64" s="1"/>
      <c r="I64" s="1"/>
    </row>
    <row r="65" spans="1:9" x14ac:dyDescent="0.15">
      <c r="A65" s="1"/>
      <c r="B65" s="10"/>
      <c r="C65" s="1"/>
      <c r="D65" s="1"/>
      <c r="E65" s="1"/>
      <c r="F65" s="1"/>
      <c r="G65" s="1"/>
      <c r="H65" s="1"/>
      <c r="I65" s="1"/>
    </row>
    <row r="66" spans="1:9" x14ac:dyDescent="0.15">
      <c r="A66" s="1"/>
      <c r="B66" s="10"/>
      <c r="C66" s="1"/>
      <c r="D66" s="1"/>
      <c r="E66" s="1"/>
      <c r="F66" s="1"/>
      <c r="G66" s="1"/>
      <c r="H66" s="1"/>
      <c r="I66" s="1"/>
    </row>
    <row r="67" spans="1:9" x14ac:dyDescent="0.15">
      <c r="A67" s="1"/>
      <c r="B67" s="10"/>
      <c r="C67" s="1"/>
      <c r="D67" s="1"/>
      <c r="E67" s="1"/>
      <c r="F67" s="1"/>
      <c r="G67" s="1"/>
      <c r="H67" s="1"/>
      <c r="I67" s="1"/>
    </row>
  </sheetData>
  <phoneticPr fontId="35" type="noConversion"/>
  <conditionalFormatting sqref="B1:B3 B5:B67">
    <cfRule type="duplicateValues" dxfId="2" priority="1"/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V67"/>
  <sheetViews>
    <sheetView workbookViewId="0"/>
  </sheetViews>
  <sheetFormatPr defaultColWidth="9" defaultRowHeight="13.5" x14ac:dyDescent="0.15"/>
  <cols>
    <col min="5" max="5" width="54.25" customWidth="1"/>
    <col min="8" max="8" width="66.875" customWidth="1"/>
    <col min="9" max="9" width="41.5" customWidth="1"/>
    <col min="10" max="10" width="13.125" customWidth="1"/>
    <col min="11" max="11" width="14.5" style="1" customWidth="1"/>
    <col min="16" max="16" width="15.375" customWidth="1"/>
  </cols>
  <sheetData>
    <row r="1" spans="1:22" x14ac:dyDescent="0.15">
      <c r="A1" s="2" t="s">
        <v>38</v>
      </c>
      <c r="B1" s="3" t="s">
        <v>39</v>
      </c>
      <c r="C1" s="3" t="s">
        <v>39</v>
      </c>
      <c r="D1" s="3" t="s">
        <v>39</v>
      </c>
      <c r="E1" s="3" t="s">
        <v>39</v>
      </c>
      <c r="F1" s="3" t="s">
        <v>39</v>
      </c>
      <c r="G1" s="3" t="s">
        <v>39</v>
      </c>
      <c r="H1" s="3" t="s">
        <v>39</v>
      </c>
      <c r="I1" s="3" t="s">
        <v>39</v>
      </c>
      <c r="J1" s="3" t="s">
        <v>39</v>
      </c>
      <c r="K1" s="3" t="s">
        <v>39</v>
      </c>
      <c r="L1" s="3" t="s">
        <v>39</v>
      </c>
      <c r="M1" s="3" t="s">
        <v>39</v>
      </c>
      <c r="N1" s="3" t="s">
        <v>39</v>
      </c>
      <c r="O1" s="3" t="s">
        <v>39</v>
      </c>
      <c r="P1" s="3" t="s">
        <v>39</v>
      </c>
      <c r="Q1" s="3" t="s">
        <v>39</v>
      </c>
      <c r="R1" s="3" t="s">
        <v>39</v>
      </c>
      <c r="S1" s="3" t="s">
        <v>39</v>
      </c>
      <c r="T1" s="3" t="s">
        <v>39</v>
      </c>
      <c r="U1" s="3" t="s">
        <v>39</v>
      </c>
      <c r="V1" s="3" t="s">
        <v>39</v>
      </c>
    </row>
    <row r="2" spans="1:22" x14ac:dyDescent="0.15">
      <c r="A2" s="2" t="s">
        <v>40</v>
      </c>
      <c r="B2" s="3" t="s">
        <v>39</v>
      </c>
      <c r="C2" s="3" t="s">
        <v>39</v>
      </c>
      <c r="D2" s="3" t="s">
        <v>39</v>
      </c>
      <c r="E2" s="3" t="s">
        <v>39</v>
      </c>
      <c r="F2" s="3" t="s">
        <v>39</v>
      </c>
      <c r="G2" s="3" t="s">
        <v>39</v>
      </c>
      <c r="H2" s="3" t="s">
        <v>39</v>
      </c>
      <c r="I2" s="3" t="s">
        <v>39</v>
      </c>
      <c r="J2" s="3" t="s">
        <v>39</v>
      </c>
      <c r="K2" s="3" t="s">
        <v>39</v>
      </c>
      <c r="L2" s="3" t="s">
        <v>39</v>
      </c>
      <c r="M2" s="3" t="s">
        <v>39</v>
      </c>
      <c r="N2" s="3" t="s">
        <v>39</v>
      </c>
      <c r="O2" s="3" t="s">
        <v>39</v>
      </c>
      <c r="P2" s="3" t="s">
        <v>39</v>
      </c>
      <c r="Q2" s="3" t="s">
        <v>39</v>
      </c>
      <c r="R2" s="3" t="s">
        <v>39</v>
      </c>
      <c r="S2" s="3" t="s">
        <v>39</v>
      </c>
      <c r="T2" s="3" t="s">
        <v>39</v>
      </c>
      <c r="U2" s="3" t="s">
        <v>39</v>
      </c>
      <c r="V2" s="3" t="s">
        <v>39</v>
      </c>
    </row>
    <row r="3" spans="1:22" ht="14.25" x14ac:dyDescent="0.15">
      <c r="A3" s="4" t="s">
        <v>39</v>
      </c>
      <c r="B3" s="4" t="s">
        <v>41</v>
      </c>
      <c r="C3" s="5" t="s">
        <v>42</v>
      </c>
      <c r="D3" s="5" t="s">
        <v>42</v>
      </c>
      <c r="E3" s="5" t="s">
        <v>42</v>
      </c>
      <c r="F3" s="5" t="s">
        <v>42</v>
      </c>
      <c r="G3" s="5" t="s">
        <v>42</v>
      </c>
      <c r="H3" s="5" t="s">
        <v>42</v>
      </c>
      <c r="I3" s="5" t="s">
        <v>42</v>
      </c>
      <c r="J3" s="5" t="s">
        <v>41</v>
      </c>
      <c r="K3" s="5" t="s">
        <v>41</v>
      </c>
      <c r="L3" s="5" t="s">
        <v>41</v>
      </c>
      <c r="M3" s="5" t="s">
        <v>41</v>
      </c>
      <c r="N3" s="5" t="s">
        <v>41</v>
      </c>
      <c r="O3" s="5" t="s">
        <v>42</v>
      </c>
      <c r="P3" s="5" t="s">
        <v>41</v>
      </c>
      <c r="Q3" s="5" t="s">
        <v>41</v>
      </c>
      <c r="R3" s="5" t="s">
        <v>41</v>
      </c>
      <c r="S3" s="5" t="s">
        <v>42</v>
      </c>
      <c r="T3" s="5" t="s">
        <v>41</v>
      </c>
      <c r="U3" s="5" t="s">
        <v>981</v>
      </c>
      <c r="V3" s="5" t="s">
        <v>989</v>
      </c>
    </row>
    <row r="4" spans="1:22" ht="14.25" x14ac:dyDescent="0.15">
      <c r="A4" s="4"/>
      <c r="B4" s="4" t="s">
        <v>43</v>
      </c>
      <c r="C4" s="4" t="s">
        <v>188</v>
      </c>
      <c r="D4" s="4" t="s">
        <v>44</v>
      </c>
      <c r="E4" s="4" t="s">
        <v>189</v>
      </c>
      <c r="F4" s="4" t="s">
        <v>190</v>
      </c>
      <c r="G4" s="4" t="s">
        <v>191</v>
      </c>
      <c r="H4" s="4" t="s">
        <v>192</v>
      </c>
      <c r="I4" s="4" t="s">
        <v>193</v>
      </c>
      <c r="J4" s="5" t="s">
        <v>194</v>
      </c>
      <c r="K4" s="5" t="s">
        <v>195</v>
      </c>
      <c r="L4" s="5" t="s">
        <v>196</v>
      </c>
      <c r="M4" s="5" t="s">
        <v>197</v>
      </c>
      <c r="N4" s="5" t="s">
        <v>198</v>
      </c>
      <c r="O4" s="5" t="s">
        <v>199</v>
      </c>
      <c r="P4" s="5" t="s">
        <v>200</v>
      </c>
      <c r="Q4" s="5" t="s">
        <v>201</v>
      </c>
      <c r="R4" s="5" t="s">
        <v>202</v>
      </c>
      <c r="S4" s="5" t="s">
        <v>203</v>
      </c>
      <c r="T4" s="5" t="s">
        <v>204</v>
      </c>
      <c r="U4" s="5" t="s">
        <v>982</v>
      </c>
      <c r="V4" s="5" t="s">
        <v>990</v>
      </c>
    </row>
    <row r="5" spans="1:22" ht="14.25" x14ac:dyDescent="0.15">
      <c r="A5" s="4"/>
      <c r="B5" s="4" t="str">
        <f>IF(B3="","",IF(B3="INT","i",IF(B3="FLOAT","f",IF(B3="STRING","s"))))</f>
        <v>i</v>
      </c>
      <c r="C5" s="5" t="s">
        <v>68</v>
      </c>
      <c r="D5" s="5" t="s">
        <v>68</v>
      </c>
      <c r="E5" s="5" t="s">
        <v>68</v>
      </c>
      <c r="F5" s="5" t="s">
        <v>68</v>
      </c>
      <c r="G5" s="5" t="s">
        <v>68</v>
      </c>
      <c r="H5" s="5" t="s">
        <v>68</v>
      </c>
      <c r="I5" s="5" t="s">
        <v>68</v>
      </c>
      <c r="J5" s="5" t="s">
        <v>67</v>
      </c>
      <c r="K5" s="5" t="s">
        <v>67</v>
      </c>
      <c r="L5" s="5" t="s">
        <v>67</v>
      </c>
      <c r="M5" s="5" t="s">
        <v>67</v>
      </c>
      <c r="N5" s="5" t="s">
        <v>67</v>
      </c>
      <c r="O5" s="5" t="s">
        <v>68</v>
      </c>
      <c r="P5" s="5" t="s">
        <v>67</v>
      </c>
      <c r="Q5" s="5" t="s">
        <v>67</v>
      </c>
      <c r="R5" s="5" t="s">
        <v>67</v>
      </c>
      <c r="S5" s="5" t="s">
        <v>68</v>
      </c>
      <c r="T5" s="5" t="s">
        <v>67</v>
      </c>
      <c r="U5" s="5" t="s">
        <v>67</v>
      </c>
      <c r="V5" s="5" t="s">
        <v>67</v>
      </c>
    </row>
    <row r="6" spans="1:22" ht="14.25" x14ac:dyDescent="0.15">
      <c r="A6" s="4" t="s">
        <v>39</v>
      </c>
      <c r="B6" s="4" t="str">
        <f t="shared" ref="B6:E6" si="0">B5&amp;B4</f>
        <v>iID</v>
      </c>
      <c r="C6" s="5" t="str">
        <f t="shared" si="0"/>
        <v>sRoomID</v>
      </c>
      <c r="D6" s="5" t="str">
        <f t="shared" si="0"/>
        <v>sNotes</v>
      </c>
      <c r="E6" s="5" t="str">
        <f t="shared" si="0"/>
        <v>sAttributes</v>
      </c>
      <c r="F6" s="5" t="str">
        <f t="shared" ref="F6:Q6" si="1">F5&amp;F4</f>
        <v>sMapAttributes</v>
      </c>
      <c r="G6" s="5" t="str">
        <f t="shared" si="1"/>
        <v>sStandardDefence</v>
      </c>
      <c r="H6" s="5" t="str">
        <f t="shared" si="1"/>
        <v>sRoomIDs</v>
      </c>
      <c r="I6" s="5" t="str">
        <f t="shared" si="1"/>
        <v>sRoomIDs1</v>
      </c>
      <c r="J6" s="5" t="str">
        <f t="shared" si="1"/>
        <v>iCheatValue</v>
      </c>
      <c r="K6" s="5" t="str">
        <f t="shared" si="1"/>
        <v>iBattleValue</v>
      </c>
      <c r="L6" s="5" t="str">
        <f t="shared" si="1"/>
        <v>iGoldAdd</v>
      </c>
      <c r="M6" s="5" t="str">
        <f t="shared" si="1"/>
        <v>iExpAdd</v>
      </c>
      <c r="N6" s="5" t="str">
        <f t="shared" si="1"/>
        <v>iAwardHero</v>
      </c>
      <c r="O6" s="5" t="str">
        <f t="shared" si="1"/>
        <v>sOutPut</v>
      </c>
      <c r="P6" s="5" t="str">
        <f t="shared" si="1"/>
        <v>iDropCount</v>
      </c>
      <c r="Q6" s="5" t="str">
        <f t="shared" si="1"/>
        <v>iCatchTime</v>
      </c>
      <c r="R6" s="5" t="str">
        <f t="shared" ref="R6:S6" si="2">R5&amp;R4</f>
        <v>iCatchProb</v>
      </c>
      <c r="S6" s="5" t="str">
        <f t="shared" si="2"/>
        <v>sFirstOutPut</v>
      </c>
      <c r="T6" s="5" t="str">
        <f t="shared" ref="T6:V6" si="3">T5&amp;T4</f>
        <v>iFirstExpAdd</v>
      </c>
      <c r="U6" s="5" t="str">
        <f t="shared" si="3"/>
        <v>iFirstGoldAdd</v>
      </c>
      <c r="V6" s="5" t="str">
        <f t="shared" si="3"/>
        <v>iMonsLv</v>
      </c>
    </row>
    <row r="7" spans="1:22" ht="14.25" x14ac:dyDescent="0.15">
      <c r="A7" s="4"/>
      <c r="B7" s="4" t="s">
        <v>206</v>
      </c>
      <c r="C7" s="6"/>
      <c r="D7" s="6"/>
      <c r="E7" s="6"/>
      <c r="F7" s="6"/>
      <c r="G7" s="6"/>
      <c r="H7" s="6"/>
      <c r="I7" s="6"/>
      <c r="J7" s="6" t="s">
        <v>213</v>
      </c>
      <c r="K7" s="6" t="s">
        <v>214</v>
      </c>
      <c r="L7" s="6" t="s">
        <v>215</v>
      </c>
      <c r="M7" s="6" t="s">
        <v>216</v>
      </c>
      <c r="N7" s="6" t="s">
        <v>217</v>
      </c>
      <c r="O7" s="6" t="s">
        <v>218</v>
      </c>
      <c r="P7" s="6" t="s">
        <v>219</v>
      </c>
      <c r="Q7" s="6" t="s">
        <v>220</v>
      </c>
      <c r="R7" s="6" t="s">
        <v>221</v>
      </c>
      <c r="S7" s="6" t="s">
        <v>222</v>
      </c>
      <c r="T7" s="6" t="s">
        <v>223</v>
      </c>
      <c r="U7" s="6" t="s">
        <v>984</v>
      </c>
      <c r="V7" s="6" t="s">
        <v>991</v>
      </c>
    </row>
    <row r="8" spans="1:22" ht="14.25" x14ac:dyDescent="0.15">
      <c r="A8" s="4" t="s">
        <v>78</v>
      </c>
      <c r="B8" s="4">
        <v>0</v>
      </c>
      <c r="C8" s="6">
        <v>0</v>
      </c>
      <c r="D8" s="6"/>
      <c r="E8" s="6"/>
      <c r="F8" s="6"/>
      <c r="G8" s="6"/>
      <c r="H8" s="6"/>
      <c r="I8" s="6"/>
      <c r="J8" s="6">
        <v>10000</v>
      </c>
      <c r="K8" s="6">
        <v>10000</v>
      </c>
      <c r="L8" s="6">
        <v>0</v>
      </c>
      <c r="M8" s="6">
        <v>0</v>
      </c>
      <c r="N8" s="6"/>
      <c r="O8" s="6"/>
      <c r="P8" s="6">
        <v>0</v>
      </c>
      <c r="Q8" s="6">
        <v>0</v>
      </c>
      <c r="R8" s="6">
        <v>0</v>
      </c>
      <c r="S8" s="6"/>
      <c r="T8" s="6">
        <v>0</v>
      </c>
      <c r="U8" s="6">
        <v>0</v>
      </c>
      <c r="V8" s="6">
        <v>1</v>
      </c>
    </row>
    <row r="9" spans="1:22" ht="14.25" x14ac:dyDescent="0.15">
      <c r="A9" s="7"/>
      <c r="B9" s="7"/>
      <c r="C9" s="8"/>
      <c r="D9" s="8"/>
      <c r="E9" s="9"/>
      <c r="F9" s="8"/>
      <c r="G9" s="8"/>
      <c r="H9" s="8"/>
      <c r="I9" s="8"/>
      <c r="J9" s="8" t="s">
        <v>224</v>
      </c>
      <c r="K9" s="8" t="s">
        <v>224</v>
      </c>
      <c r="L9" s="8"/>
      <c r="M9" s="8"/>
      <c r="N9" s="8"/>
      <c r="O9" s="8" t="s">
        <v>225</v>
      </c>
      <c r="Q9" s="8" t="s">
        <v>284</v>
      </c>
      <c r="R9" s="8" t="s">
        <v>227</v>
      </c>
      <c r="S9" s="8" t="s">
        <v>225</v>
      </c>
      <c r="T9" s="8"/>
    </row>
    <row r="10" spans="1:22" ht="36" x14ac:dyDescent="0.15">
      <c r="A10" s="1" t="s">
        <v>39</v>
      </c>
      <c r="B10" s="10">
        <v>1</v>
      </c>
      <c r="C10" s="11" t="s">
        <v>776</v>
      </c>
      <c r="D10" s="12"/>
      <c r="E10" s="11" t="s">
        <v>777</v>
      </c>
      <c r="F10" s="11" t="s">
        <v>706</v>
      </c>
      <c r="G10" s="11" t="s">
        <v>86</v>
      </c>
      <c r="H10" s="11" t="s">
        <v>726</v>
      </c>
      <c r="I10" s="12"/>
    </row>
    <row r="11" spans="1:22" ht="48" x14ac:dyDescent="0.15">
      <c r="A11" s="1" t="s">
        <v>39</v>
      </c>
      <c r="B11" s="10">
        <v>2</v>
      </c>
      <c r="C11" s="11" t="s">
        <v>778</v>
      </c>
      <c r="D11" s="12"/>
      <c r="E11" s="11" t="s">
        <v>777</v>
      </c>
      <c r="F11" s="11" t="s">
        <v>706</v>
      </c>
      <c r="G11" s="11" t="s">
        <v>86</v>
      </c>
      <c r="H11" s="11" t="s">
        <v>779</v>
      </c>
      <c r="I11" s="12"/>
    </row>
    <row r="12" spans="1:22" ht="72" x14ac:dyDescent="0.15">
      <c r="A12" s="1" t="s">
        <v>39</v>
      </c>
      <c r="B12" s="10">
        <v>3</v>
      </c>
      <c r="C12" s="11" t="s">
        <v>780</v>
      </c>
      <c r="D12" s="12"/>
      <c r="E12" s="11" t="s">
        <v>777</v>
      </c>
      <c r="F12" s="11" t="s">
        <v>706</v>
      </c>
      <c r="G12" s="11" t="s">
        <v>86</v>
      </c>
      <c r="H12" s="11" t="s">
        <v>541</v>
      </c>
      <c r="I12" s="12"/>
    </row>
    <row r="13" spans="1:22" ht="72" x14ac:dyDescent="0.15">
      <c r="A13" s="1" t="s">
        <v>39</v>
      </c>
      <c r="B13" s="10">
        <v>4</v>
      </c>
      <c r="C13" s="11" t="s">
        <v>781</v>
      </c>
      <c r="D13" s="12"/>
      <c r="E13" s="11" t="s">
        <v>777</v>
      </c>
      <c r="F13" s="11" t="s">
        <v>706</v>
      </c>
      <c r="G13" s="11" t="s">
        <v>86</v>
      </c>
      <c r="H13" s="11" t="s">
        <v>541</v>
      </c>
      <c r="I13" s="11" t="s">
        <v>543</v>
      </c>
    </row>
    <row r="14" spans="1:22" ht="24" x14ac:dyDescent="0.15">
      <c r="A14" s="1" t="s">
        <v>39</v>
      </c>
      <c r="B14" s="10">
        <v>5</v>
      </c>
      <c r="C14" s="11" t="s">
        <v>782</v>
      </c>
      <c r="D14" s="12"/>
      <c r="E14" s="11" t="s">
        <v>777</v>
      </c>
      <c r="F14" s="11" t="s">
        <v>706</v>
      </c>
      <c r="G14" s="11" t="s">
        <v>86</v>
      </c>
      <c r="H14" s="11" t="s">
        <v>234</v>
      </c>
      <c r="I14" s="12"/>
    </row>
    <row r="15" spans="1:22" ht="24" x14ac:dyDescent="0.15">
      <c r="A15" s="1" t="s">
        <v>39</v>
      </c>
      <c r="B15" s="10">
        <v>6</v>
      </c>
      <c r="C15" s="11" t="s">
        <v>783</v>
      </c>
      <c r="D15" s="12"/>
      <c r="E15" s="11" t="s">
        <v>784</v>
      </c>
      <c r="F15" s="11" t="s">
        <v>706</v>
      </c>
      <c r="G15" s="11" t="s">
        <v>86</v>
      </c>
      <c r="H15" s="11" t="s">
        <v>546</v>
      </c>
      <c r="I15" s="12"/>
    </row>
    <row r="16" spans="1:22" ht="48" x14ac:dyDescent="0.15">
      <c r="A16" s="1" t="s">
        <v>39</v>
      </c>
      <c r="B16" s="10">
        <v>7</v>
      </c>
      <c r="C16" s="11" t="s">
        <v>785</v>
      </c>
      <c r="D16" s="12"/>
      <c r="E16" s="11" t="s">
        <v>784</v>
      </c>
      <c r="F16" s="11" t="s">
        <v>706</v>
      </c>
      <c r="G16" s="11" t="s">
        <v>86</v>
      </c>
      <c r="H16" s="11" t="s">
        <v>786</v>
      </c>
      <c r="I16" s="11" t="s">
        <v>549</v>
      </c>
    </row>
    <row r="17" spans="1:9" ht="48" x14ac:dyDescent="0.15">
      <c r="A17" s="1" t="s">
        <v>39</v>
      </c>
      <c r="B17" s="10">
        <v>8</v>
      </c>
      <c r="C17" s="11" t="s">
        <v>787</v>
      </c>
      <c r="D17" s="12"/>
      <c r="E17" s="11" t="s">
        <v>784</v>
      </c>
      <c r="F17" s="11" t="s">
        <v>706</v>
      </c>
      <c r="G17" s="11" t="s">
        <v>86</v>
      </c>
      <c r="H17" s="11" t="s">
        <v>786</v>
      </c>
      <c r="I17" s="12"/>
    </row>
    <row r="18" spans="1:9" ht="36" x14ac:dyDescent="0.15">
      <c r="A18" s="1" t="s">
        <v>39</v>
      </c>
      <c r="B18" s="10">
        <v>9</v>
      </c>
      <c r="C18" s="11" t="s">
        <v>788</v>
      </c>
      <c r="D18" s="12"/>
      <c r="E18" s="11" t="s">
        <v>784</v>
      </c>
      <c r="F18" s="11" t="s">
        <v>706</v>
      </c>
      <c r="G18" s="11" t="s">
        <v>86</v>
      </c>
      <c r="H18" s="11" t="s">
        <v>552</v>
      </c>
      <c r="I18" s="12"/>
    </row>
    <row r="19" spans="1:9" ht="24" x14ac:dyDescent="0.15">
      <c r="A19" s="1" t="s">
        <v>39</v>
      </c>
      <c r="B19" s="10">
        <v>10</v>
      </c>
      <c r="C19" s="11" t="s">
        <v>789</v>
      </c>
      <c r="D19" s="12"/>
      <c r="E19" s="11" t="s">
        <v>784</v>
      </c>
      <c r="F19" s="11" t="s">
        <v>706</v>
      </c>
      <c r="G19" s="11" t="s">
        <v>86</v>
      </c>
      <c r="H19" s="11" t="s">
        <v>622</v>
      </c>
      <c r="I19" s="12"/>
    </row>
    <row r="20" spans="1:9" ht="96" x14ac:dyDescent="0.15">
      <c r="A20" s="1" t="s">
        <v>39</v>
      </c>
      <c r="B20" s="10">
        <v>11</v>
      </c>
      <c r="C20" s="11" t="s">
        <v>790</v>
      </c>
      <c r="D20" s="12"/>
      <c r="E20" s="11" t="s">
        <v>791</v>
      </c>
      <c r="F20" s="11" t="s">
        <v>706</v>
      </c>
      <c r="G20" s="11" t="s">
        <v>86</v>
      </c>
      <c r="H20" s="11" t="s">
        <v>792</v>
      </c>
      <c r="I20" s="11" t="s">
        <v>557</v>
      </c>
    </row>
    <row r="21" spans="1:9" ht="96" x14ac:dyDescent="0.15">
      <c r="A21" s="1" t="s">
        <v>39</v>
      </c>
      <c r="B21" s="10">
        <v>12</v>
      </c>
      <c r="C21" s="11" t="s">
        <v>793</v>
      </c>
      <c r="D21" s="12"/>
      <c r="E21" s="11" t="s">
        <v>791</v>
      </c>
      <c r="F21" s="11" t="s">
        <v>706</v>
      </c>
      <c r="G21" s="11" t="s">
        <v>86</v>
      </c>
      <c r="H21" s="11" t="s">
        <v>792</v>
      </c>
      <c r="I21" s="12"/>
    </row>
    <row r="22" spans="1:9" ht="96" x14ac:dyDescent="0.15">
      <c r="A22" s="1" t="s">
        <v>39</v>
      </c>
      <c r="B22" s="10">
        <v>13</v>
      </c>
      <c r="C22" s="11" t="s">
        <v>794</v>
      </c>
      <c r="D22" s="12"/>
      <c r="E22" s="11" t="s">
        <v>791</v>
      </c>
      <c r="F22" s="11" t="s">
        <v>706</v>
      </c>
      <c r="G22" s="11" t="s">
        <v>86</v>
      </c>
      <c r="H22" s="11" t="s">
        <v>792</v>
      </c>
      <c r="I22" s="12"/>
    </row>
    <row r="23" spans="1:9" ht="96" x14ac:dyDescent="0.15">
      <c r="A23" s="1" t="s">
        <v>39</v>
      </c>
      <c r="B23" s="10">
        <v>14</v>
      </c>
      <c r="C23" s="11" t="s">
        <v>795</v>
      </c>
      <c r="D23" s="12"/>
      <c r="E23" s="11" t="s">
        <v>791</v>
      </c>
      <c r="F23" s="11" t="s">
        <v>706</v>
      </c>
      <c r="G23" s="11" t="s">
        <v>86</v>
      </c>
      <c r="H23" s="11" t="s">
        <v>792</v>
      </c>
      <c r="I23" s="12"/>
    </row>
    <row r="24" spans="1:9" ht="24" x14ac:dyDescent="0.15">
      <c r="A24" s="1" t="s">
        <v>39</v>
      </c>
      <c r="B24" s="10">
        <v>15</v>
      </c>
      <c r="C24" s="11" t="s">
        <v>796</v>
      </c>
      <c r="D24" s="12"/>
      <c r="E24" s="11" t="s">
        <v>791</v>
      </c>
      <c r="F24" s="11" t="s">
        <v>706</v>
      </c>
      <c r="G24" s="11" t="s">
        <v>86</v>
      </c>
      <c r="H24" s="11" t="s">
        <v>234</v>
      </c>
      <c r="I24" s="12"/>
    </row>
    <row r="25" spans="1:9" ht="72" x14ac:dyDescent="0.15">
      <c r="A25" s="1" t="s">
        <v>39</v>
      </c>
      <c r="B25" s="10">
        <v>16</v>
      </c>
      <c r="C25" s="11" t="s">
        <v>797</v>
      </c>
      <c r="D25" s="12"/>
      <c r="E25" s="11" t="s">
        <v>798</v>
      </c>
      <c r="F25" s="11" t="s">
        <v>799</v>
      </c>
      <c r="G25" s="11" t="s">
        <v>86</v>
      </c>
      <c r="H25" s="11" t="s">
        <v>800</v>
      </c>
      <c r="I25" s="11" t="s">
        <v>565</v>
      </c>
    </row>
    <row r="26" spans="1:9" ht="72" x14ac:dyDescent="0.15">
      <c r="A26" s="1" t="s">
        <v>39</v>
      </c>
      <c r="B26" s="10">
        <v>17</v>
      </c>
      <c r="C26" s="11" t="s">
        <v>801</v>
      </c>
      <c r="D26" s="12"/>
      <c r="E26" s="11" t="s">
        <v>798</v>
      </c>
      <c r="F26" s="11" t="s">
        <v>799</v>
      </c>
      <c r="G26" s="11" t="s">
        <v>86</v>
      </c>
      <c r="H26" s="11" t="s">
        <v>800</v>
      </c>
      <c r="I26" s="12"/>
    </row>
    <row r="27" spans="1:9" ht="72" x14ac:dyDescent="0.15">
      <c r="A27" s="1" t="s">
        <v>39</v>
      </c>
      <c r="B27" s="10">
        <v>18</v>
      </c>
      <c r="C27" s="11" t="s">
        <v>802</v>
      </c>
      <c r="D27" s="12"/>
      <c r="E27" s="11" t="s">
        <v>798</v>
      </c>
      <c r="F27" s="11" t="s">
        <v>799</v>
      </c>
      <c r="G27" s="11" t="s">
        <v>86</v>
      </c>
      <c r="H27" s="11" t="s">
        <v>800</v>
      </c>
      <c r="I27" s="12"/>
    </row>
    <row r="28" spans="1:9" ht="24" x14ac:dyDescent="0.15">
      <c r="A28" s="1" t="s">
        <v>39</v>
      </c>
      <c r="B28" s="10">
        <v>19</v>
      </c>
      <c r="C28" s="11" t="s">
        <v>803</v>
      </c>
      <c r="D28" s="12"/>
      <c r="E28" s="11" t="s">
        <v>798</v>
      </c>
      <c r="F28" s="11" t="s">
        <v>799</v>
      </c>
      <c r="G28" s="11" t="s">
        <v>86</v>
      </c>
      <c r="H28" s="11" t="s">
        <v>569</v>
      </c>
      <c r="I28" s="12"/>
    </row>
    <row r="29" spans="1:9" ht="24" x14ac:dyDescent="0.15">
      <c r="A29" s="1" t="s">
        <v>39</v>
      </c>
      <c r="B29" s="10">
        <v>20</v>
      </c>
      <c r="C29" s="11" t="s">
        <v>804</v>
      </c>
      <c r="D29" s="12"/>
      <c r="E29" s="11" t="s">
        <v>798</v>
      </c>
      <c r="F29" s="11" t="s">
        <v>799</v>
      </c>
      <c r="G29" s="11" t="s">
        <v>86</v>
      </c>
      <c r="H29" s="11" t="s">
        <v>622</v>
      </c>
      <c r="I29" s="12"/>
    </row>
    <row r="30" spans="1:9" ht="60" x14ac:dyDescent="0.15">
      <c r="A30" s="1" t="s">
        <v>39</v>
      </c>
      <c r="B30" s="10">
        <v>21</v>
      </c>
      <c r="C30" s="11" t="s">
        <v>805</v>
      </c>
      <c r="D30" s="12"/>
      <c r="E30" s="11" t="s">
        <v>806</v>
      </c>
      <c r="F30" s="11" t="s">
        <v>799</v>
      </c>
      <c r="G30" s="11" t="s">
        <v>86</v>
      </c>
      <c r="H30" s="11" t="s">
        <v>572</v>
      </c>
      <c r="I30" s="11" t="s">
        <v>573</v>
      </c>
    </row>
    <row r="31" spans="1:9" ht="60" x14ac:dyDescent="0.15">
      <c r="A31" s="1" t="s">
        <v>39</v>
      </c>
      <c r="B31" s="10">
        <v>22</v>
      </c>
      <c r="C31" s="11" t="s">
        <v>807</v>
      </c>
      <c r="D31" s="12"/>
      <c r="E31" s="11" t="s">
        <v>806</v>
      </c>
      <c r="F31" s="11" t="s">
        <v>799</v>
      </c>
      <c r="G31" s="11" t="s">
        <v>86</v>
      </c>
      <c r="H31" s="11" t="s">
        <v>572</v>
      </c>
      <c r="I31" s="12"/>
    </row>
    <row r="32" spans="1:9" ht="72" x14ac:dyDescent="0.15">
      <c r="A32" s="1" t="s">
        <v>39</v>
      </c>
      <c r="B32" s="10">
        <v>23</v>
      </c>
      <c r="C32" s="11" t="s">
        <v>808</v>
      </c>
      <c r="D32" s="12"/>
      <c r="E32" s="11" t="s">
        <v>806</v>
      </c>
      <c r="F32" s="11" t="s">
        <v>799</v>
      </c>
      <c r="G32" s="11" t="s">
        <v>86</v>
      </c>
      <c r="H32" s="11" t="s">
        <v>576</v>
      </c>
      <c r="I32" s="11" t="s">
        <v>809</v>
      </c>
    </row>
    <row r="33" spans="1:9" ht="72" x14ac:dyDescent="0.15">
      <c r="A33" s="1" t="s">
        <v>39</v>
      </c>
      <c r="B33" s="10">
        <v>24</v>
      </c>
      <c r="C33" s="11" t="s">
        <v>810</v>
      </c>
      <c r="D33" s="12"/>
      <c r="E33" s="11" t="s">
        <v>806</v>
      </c>
      <c r="F33" s="11" t="s">
        <v>799</v>
      </c>
      <c r="G33" s="11" t="s">
        <v>86</v>
      </c>
      <c r="H33" s="11" t="s">
        <v>576</v>
      </c>
      <c r="I33" s="12"/>
    </row>
    <row r="34" spans="1:9" ht="24" x14ac:dyDescent="0.15">
      <c r="A34" s="1" t="s">
        <v>39</v>
      </c>
      <c r="B34" s="10">
        <v>25</v>
      </c>
      <c r="C34" s="11" t="s">
        <v>811</v>
      </c>
      <c r="D34" s="12"/>
      <c r="E34" s="11" t="s">
        <v>806</v>
      </c>
      <c r="F34" s="11" t="s">
        <v>799</v>
      </c>
      <c r="G34" s="11" t="s">
        <v>86</v>
      </c>
      <c r="H34" s="11" t="s">
        <v>234</v>
      </c>
      <c r="I34" s="12"/>
    </row>
    <row r="35" spans="1:9" ht="108" x14ac:dyDescent="0.15">
      <c r="A35" s="1" t="s">
        <v>39</v>
      </c>
      <c r="B35" s="10">
        <v>26</v>
      </c>
      <c r="C35" s="11" t="s">
        <v>812</v>
      </c>
      <c r="D35" s="12"/>
      <c r="E35" s="11" t="s">
        <v>813</v>
      </c>
      <c r="F35" s="11" t="s">
        <v>799</v>
      </c>
      <c r="G35" s="11" t="s">
        <v>86</v>
      </c>
      <c r="H35" s="11" t="s">
        <v>580</v>
      </c>
      <c r="I35" s="12"/>
    </row>
    <row r="36" spans="1:9" ht="108" x14ac:dyDescent="0.15">
      <c r="A36" s="1" t="s">
        <v>39</v>
      </c>
      <c r="B36" s="10">
        <v>27</v>
      </c>
      <c r="C36" s="11" t="s">
        <v>814</v>
      </c>
      <c r="D36" s="12"/>
      <c r="E36" s="11" t="s">
        <v>813</v>
      </c>
      <c r="F36" s="11" t="s">
        <v>799</v>
      </c>
      <c r="G36" s="11" t="s">
        <v>86</v>
      </c>
      <c r="H36" s="11" t="s">
        <v>580</v>
      </c>
      <c r="I36" s="12"/>
    </row>
    <row r="37" spans="1:9" ht="108" x14ac:dyDescent="0.15">
      <c r="A37" s="1" t="s">
        <v>39</v>
      </c>
      <c r="B37" s="10">
        <v>28</v>
      </c>
      <c r="C37" s="11" t="s">
        <v>815</v>
      </c>
      <c r="D37" s="12"/>
      <c r="E37" s="11" t="s">
        <v>813</v>
      </c>
      <c r="F37" s="11" t="s">
        <v>799</v>
      </c>
      <c r="G37" s="11" t="s">
        <v>86</v>
      </c>
      <c r="H37" s="11" t="s">
        <v>580</v>
      </c>
      <c r="I37" s="12"/>
    </row>
    <row r="38" spans="1:9" ht="48" x14ac:dyDescent="0.15">
      <c r="A38" s="1" t="s">
        <v>39</v>
      </c>
      <c r="B38" s="10">
        <v>29</v>
      </c>
      <c r="C38" s="11" t="s">
        <v>816</v>
      </c>
      <c r="D38" s="12"/>
      <c r="E38" s="11" t="s">
        <v>813</v>
      </c>
      <c r="F38" s="11" t="s">
        <v>799</v>
      </c>
      <c r="G38" s="11" t="s">
        <v>86</v>
      </c>
      <c r="H38" s="11" t="s">
        <v>584</v>
      </c>
      <c r="I38" s="12"/>
    </row>
    <row r="39" spans="1:9" ht="24" x14ac:dyDescent="0.15">
      <c r="A39" s="1" t="s">
        <v>39</v>
      </c>
      <c r="B39" s="10">
        <v>30</v>
      </c>
      <c r="C39" s="11" t="s">
        <v>817</v>
      </c>
      <c r="D39" s="12"/>
      <c r="E39" s="11" t="s">
        <v>813</v>
      </c>
      <c r="F39" s="11" t="s">
        <v>799</v>
      </c>
      <c r="G39" s="11" t="s">
        <v>86</v>
      </c>
      <c r="H39" s="11" t="s">
        <v>648</v>
      </c>
      <c r="I39" s="12"/>
    </row>
    <row r="40" spans="1:9" ht="108" x14ac:dyDescent="0.15">
      <c r="A40" s="1" t="s">
        <v>39</v>
      </c>
      <c r="B40" s="10">
        <v>31</v>
      </c>
      <c r="C40" s="11" t="s">
        <v>818</v>
      </c>
      <c r="D40" s="12"/>
      <c r="E40" s="11" t="s">
        <v>819</v>
      </c>
      <c r="F40" s="11" t="s">
        <v>820</v>
      </c>
      <c r="G40" s="11" t="s">
        <v>86</v>
      </c>
      <c r="H40" s="11" t="s">
        <v>580</v>
      </c>
      <c r="I40" s="12"/>
    </row>
    <row r="41" spans="1:9" ht="108" x14ac:dyDescent="0.15">
      <c r="A41" s="1" t="s">
        <v>39</v>
      </c>
      <c r="B41" s="10">
        <v>32</v>
      </c>
      <c r="C41" s="11" t="s">
        <v>821</v>
      </c>
      <c r="D41" s="12"/>
      <c r="E41" s="11" t="s">
        <v>819</v>
      </c>
      <c r="F41" s="11" t="s">
        <v>820</v>
      </c>
      <c r="G41" s="11" t="s">
        <v>86</v>
      </c>
      <c r="H41" s="11" t="s">
        <v>580</v>
      </c>
      <c r="I41" s="12"/>
    </row>
    <row r="42" spans="1:9" ht="108" x14ac:dyDescent="0.15">
      <c r="A42" s="1" t="s">
        <v>39</v>
      </c>
      <c r="B42" s="10">
        <v>33</v>
      </c>
      <c r="C42" s="11" t="s">
        <v>822</v>
      </c>
      <c r="D42" s="12"/>
      <c r="E42" s="11" t="s">
        <v>819</v>
      </c>
      <c r="F42" s="11" t="s">
        <v>820</v>
      </c>
      <c r="G42" s="11" t="s">
        <v>86</v>
      </c>
      <c r="H42" s="11" t="s">
        <v>580</v>
      </c>
      <c r="I42" s="12"/>
    </row>
    <row r="43" spans="1:9" ht="108" x14ac:dyDescent="0.15">
      <c r="A43" s="1" t="s">
        <v>39</v>
      </c>
      <c r="B43" s="10">
        <v>34</v>
      </c>
      <c r="C43" s="11" t="s">
        <v>823</v>
      </c>
      <c r="D43" s="12"/>
      <c r="E43" s="11" t="s">
        <v>819</v>
      </c>
      <c r="F43" s="11" t="s">
        <v>820</v>
      </c>
      <c r="G43" s="11" t="s">
        <v>86</v>
      </c>
      <c r="H43" s="11" t="s">
        <v>580</v>
      </c>
      <c r="I43" s="12"/>
    </row>
    <row r="44" spans="1:9" ht="24" x14ac:dyDescent="0.15">
      <c r="A44" s="1" t="s">
        <v>39</v>
      </c>
      <c r="B44" s="10">
        <v>35</v>
      </c>
      <c r="C44" s="11" t="s">
        <v>824</v>
      </c>
      <c r="D44" s="12"/>
      <c r="E44" s="11" t="s">
        <v>819</v>
      </c>
      <c r="F44" s="11" t="s">
        <v>820</v>
      </c>
      <c r="G44" s="11" t="s">
        <v>86</v>
      </c>
      <c r="H44" s="11" t="s">
        <v>234</v>
      </c>
      <c r="I44" s="12"/>
    </row>
    <row r="45" spans="1:9" ht="132" x14ac:dyDescent="0.15">
      <c r="A45" s="1" t="s">
        <v>39</v>
      </c>
      <c r="B45" s="10">
        <v>36</v>
      </c>
      <c r="C45" s="11" t="s">
        <v>825</v>
      </c>
      <c r="D45" s="12"/>
      <c r="E45" s="11" t="s">
        <v>826</v>
      </c>
      <c r="F45" s="11" t="s">
        <v>820</v>
      </c>
      <c r="G45" s="11" t="s">
        <v>86</v>
      </c>
      <c r="H45" s="11" t="s">
        <v>593</v>
      </c>
      <c r="I45" s="12"/>
    </row>
    <row r="46" spans="1:9" ht="132" x14ac:dyDescent="0.15">
      <c r="A46" s="1" t="s">
        <v>39</v>
      </c>
      <c r="B46" s="10">
        <v>37</v>
      </c>
      <c r="C46" s="11" t="s">
        <v>827</v>
      </c>
      <c r="D46" s="12"/>
      <c r="E46" s="11" t="s">
        <v>826</v>
      </c>
      <c r="F46" s="11" t="s">
        <v>820</v>
      </c>
      <c r="G46" s="11" t="s">
        <v>86</v>
      </c>
      <c r="H46" s="11" t="s">
        <v>593</v>
      </c>
      <c r="I46" s="12"/>
    </row>
    <row r="47" spans="1:9" ht="132" x14ac:dyDescent="0.15">
      <c r="A47" s="1" t="s">
        <v>39</v>
      </c>
      <c r="B47" s="10">
        <v>38</v>
      </c>
      <c r="C47" s="11" t="s">
        <v>828</v>
      </c>
      <c r="D47" s="12"/>
      <c r="E47" s="11" t="s">
        <v>826</v>
      </c>
      <c r="F47" s="11" t="s">
        <v>820</v>
      </c>
      <c r="G47" s="11" t="s">
        <v>86</v>
      </c>
      <c r="H47" s="11" t="s">
        <v>593</v>
      </c>
      <c r="I47" s="12"/>
    </row>
    <row r="48" spans="1:9" ht="48" x14ac:dyDescent="0.15">
      <c r="A48" s="1" t="s">
        <v>39</v>
      </c>
      <c r="B48" s="10">
        <v>39</v>
      </c>
      <c r="C48" s="11" t="s">
        <v>829</v>
      </c>
      <c r="D48" s="12"/>
      <c r="E48" s="11" t="s">
        <v>826</v>
      </c>
      <c r="F48" s="11" t="s">
        <v>820</v>
      </c>
      <c r="G48" s="11" t="s">
        <v>86</v>
      </c>
      <c r="H48" s="11" t="s">
        <v>584</v>
      </c>
      <c r="I48" s="12"/>
    </row>
    <row r="49" spans="1:9" ht="24" x14ac:dyDescent="0.15">
      <c r="A49" s="1" t="s">
        <v>39</v>
      </c>
      <c r="B49" s="10">
        <v>40</v>
      </c>
      <c r="C49" s="11" t="s">
        <v>830</v>
      </c>
      <c r="D49" s="12"/>
      <c r="E49" s="11" t="s">
        <v>826</v>
      </c>
      <c r="F49" s="11" t="s">
        <v>820</v>
      </c>
      <c r="G49" s="11" t="s">
        <v>86</v>
      </c>
      <c r="H49" s="11" t="s">
        <v>648</v>
      </c>
      <c r="I49" s="12"/>
    </row>
    <row r="50" spans="1:9" ht="132" x14ac:dyDescent="0.15">
      <c r="A50" s="1" t="s">
        <v>39</v>
      </c>
      <c r="B50" s="10">
        <v>41</v>
      </c>
      <c r="C50" s="11" t="s">
        <v>831</v>
      </c>
      <c r="D50" s="12"/>
      <c r="E50" s="11" t="s">
        <v>832</v>
      </c>
      <c r="F50" s="11" t="s">
        <v>833</v>
      </c>
      <c r="G50" s="11" t="s">
        <v>86</v>
      </c>
      <c r="H50" s="11" t="s">
        <v>593</v>
      </c>
      <c r="I50" s="12"/>
    </row>
    <row r="51" spans="1:9" ht="132" x14ac:dyDescent="0.15">
      <c r="A51" s="1" t="s">
        <v>39</v>
      </c>
      <c r="B51" s="10">
        <v>42</v>
      </c>
      <c r="C51" s="11" t="s">
        <v>834</v>
      </c>
      <c r="D51" s="12"/>
      <c r="E51" s="11" t="s">
        <v>832</v>
      </c>
      <c r="F51" s="11" t="s">
        <v>833</v>
      </c>
      <c r="G51" s="11" t="s">
        <v>86</v>
      </c>
      <c r="H51" s="11" t="s">
        <v>593</v>
      </c>
      <c r="I51" s="12"/>
    </row>
    <row r="52" spans="1:9" ht="132" x14ac:dyDescent="0.15">
      <c r="A52" s="1" t="s">
        <v>39</v>
      </c>
      <c r="B52" s="10">
        <v>43</v>
      </c>
      <c r="C52" s="11" t="s">
        <v>835</v>
      </c>
      <c r="D52" s="12"/>
      <c r="E52" s="11" t="s">
        <v>832</v>
      </c>
      <c r="F52" s="11" t="s">
        <v>833</v>
      </c>
      <c r="G52" s="11" t="s">
        <v>86</v>
      </c>
      <c r="H52" s="11" t="s">
        <v>593</v>
      </c>
      <c r="I52" s="12"/>
    </row>
    <row r="53" spans="1:9" ht="132" x14ac:dyDescent="0.15">
      <c r="A53" s="1" t="s">
        <v>39</v>
      </c>
      <c r="B53" s="10">
        <v>44</v>
      </c>
      <c r="C53" s="11" t="s">
        <v>836</v>
      </c>
      <c r="D53" s="12"/>
      <c r="E53" s="11" t="s">
        <v>832</v>
      </c>
      <c r="F53" s="11" t="s">
        <v>833</v>
      </c>
      <c r="G53" s="11" t="s">
        <v>86</v>
      </c>
      <c r="H53" s="11" t="s">
        <v>593</v>
      </c>
      <c r="I53" s="12"/>
    </row>
    <row r="54" spans="1:9" ht="24" x14ac:dyDescent="0.15">
      <c r="A54" s="1" t="s">
        <v>39</v>
      </c>
      <c r="B54" s="10">
        <v>45</v>
      </c>
      <c r="C54" s="11" t="s">
        <v>837</v>
      </c>
      <c r="D54" s="12"/>
      <c r="E54" s="11" t="s">
        <v>832</v>
      </c>
      <c r="F54" s="11" t="s">
        <v>833</v>
      </c>
      <c r="G54" s="11" t="s">
        <v>86</v>
      </c>
      <c r="H54" s="11" t="s">
        <v>234</v>
      </c>
      <c r="I54" s="12"/>
    </row>
    <row r="55" spans="1:9" ht="132" x14ac:dyDescent="0.15">
      <c r="A55" s="1" t="s">
        <v>39</v>
      </c>
      <c r="B55" s="10">
        <v>46</v>
      </c>
      <c r="C55" s="11" t="s">
        <v>838</v>
      </c>
      <c r="D55" s="12"/>
      <c r="E55" s="11" t="s">
        <v>839</v>
      </c>
      <c r="F55" s="11" t="s">
        <v>833</v>
      </c>
      <c r="G55" s="11" t="s">
        <v>86</v>
      </c>
      <c r="H55" s="11" t="s">
        <v>593</v>
      </c>
      <c r="I55" s="12"/>
    </row>
    <row r="56" spans="1:9" ht="132" x14ac:dyDescent="0.15">
      <c r="A56" s="1" t="s">
        <v>39</v>
      </c>
      <c r="B56" s="10">
        <v>47</v>
      </c>
      <c r="C56" s="11" t="s">
        <v>840</v>
      </c>
      <c r="D56" s="12"/>
      <c r="E56" s="11" t="s">
        <v>839</v>
      </c>
      <c r="F56" s="11" t="s">
        <v>833</v>
      </c>
      <c r="G56" s="11" t="s">
        <v>86</v>
      </c>
      <c r="H56" s="11" t="s">
        <v>593</v>
      </c>
      <c r="I56" s="12"/>
    </row>
    <row r="57" spans="1:9" ht="132" x14ac:dyDescent="0.15">
      <c r="A57" s="1" t="s">
        <v>39</v>
      </c>
      <c r="B57" s="10">
        <v>48</v>
      </c>
      <c r="C57" s="11" t="s">
        <v>841</v>
      </c>
      <c r="D57" s="12"/>
      <c r="E57" s="11" t="s">
        <v>839</v>
      </c>
      <c r="F57" s="11" t="s">
        <v>833</v>
      </c>
      <c r="G57" s="11" t="s">
        <v>86</v>
      </c>
      <c r="H57" s="11" t="s">
        <v>593</v>
      </c>
      <c r="I57" s="12"/>
    </row>
    <row r="58" spans="1:9" ht="132" x14ac:dyDescent="0.15">
      <c r="A58" s="1" t="s">
        <v>39</v>
      </c>
      <c r="B58" s="10">
        <v>49</v>
      </c>
      <c r="C58" s="11" t="s">
        <v>842</v>
      </c>
      <c r="D58" s="12"/>
      <c r="E58" s="11" t="s">
        <v>839</v>
      </c>
      <c r="F58" s="11" t="s">
        <v>833</v>
      </c>
      <c r="G58" s="11" t="s">
        <v>86</v>
      </c>
      <c r="H58" s="11" t="s">
        <v>593</v>
      </c>
      <c r="I58" s="12"/>
    </row>
    <row r="59" spans="1:9" ht="24" x14ac:dyDescent="0.15">
      <c r="A59" s="1" t="s">
        <v>39</v>
      </c>
      <c r="B59" s="10">
        <v>50</v>
      </c>
      <c r="C59" s="11" t="s">
        <v>843</v>
      </c>
      <c r="D59" s="12"/>
      <c r="E59" s="11" t="s">
        <v>839</v>
      </c>
      <c r="F59" s="11" t="s">
        <v>833</v>
      </c>
      <c r="G59" s="11" t="s">
        <v>86</v>
      </c>
      <c r="H59" s="11" t="s">
        <v>283</v>
      </c>
      <c r="I59" s="12"/>
    </row>
    <row r="60" spans="1:9" x14ac:dyDescent="0.15">
      <c r="A60" s="1"/>
      <c r="B60" s="10"/>
      <c r="C60" s="1"/>
      <c r="D60" s="1"/>
      <c r="E60" s="1"/>
      <c r="F60" s="1"/>
      <c r="G60" s="1"/>
      <c r="H60" s="1"/>
      <c r="I60" s="1"/>
    </row>
    <row r="61" spans="1:9" x14ac:dyDescent="0.15">
      <c r="A61" s="1"/>
      <c r="B61" s="10"/>
      <c r="C61" s="1"/>
      <c r="D61" s="1"/>
      <c r="E61" s="1"/>
      <c r="F61" s="1"/>
      <c r="G61" s="1"/>
      <c r="H61" s="1"/>
      <c r="I61" s="1"/>
    </row>
    <row r="62" spans="1:9" x14ac:dyDescent="0.15">
      <c r="A62" s="1"/>
      <c r="B62" s="10"/>
      <c r="C62" s="1"/>
      <c r="D62" s="1"/>
      <c r="E62" s="1"/>
      <c r="F62" s="1"/>
      <c r="G62" s="1"/>
      <c r="H62" s="1"/>
      <c r="I62" s="1"/>
    </row>
    <row r="63" spans="1:9" x14ac:dyDescent="0.15">
      <c r="A63" s="1"/>
      <c r="B63" s="10"/>
      <c r="C63" s="1"/>
      <c r="D63" s="1"/>
      <c r="E63" s="1"/>
      <c r="F63" s="1"/>
      <c r="G63" s="1"/>
      <c r="H63" s="1"/>
      <c r="I63" s="1"/>
    </row>
    <row r="64" spans="1:9" x14ac:dyDescent="0.15">
      <c r="A64" s="1"/>
      <c r="B64" s="10"/>
      <c r="C64" s="1"/>
      <c r="D64" s="1"/>
      <c r="E64" s="1"/>
      <c r="F64" s="1"/>
      <c r="G64" s="1"/>
      <c r="H64" s="1"/>
      <c r="I64" s="1"/>
    </row>
    <row r="65" spans="1:9" x14ac:dyDescent="0.15">
      <c r="A65" s="1"/>
      <c r="B65" s="10"/>
      <c r="C65" s="1"/>
      <c r="D65" s="1"/>
      <c r="E65" s="1"/>
      <c r="F65" s="1"/>
      <c r="G65" s="1"/>
      <c r="H65" s="1"/>
      <c r="I65" s="1"/>
    </row>
    <row r="66" spans="1:9" x14ac:dyDescent="0.15">
      <c r="A66" s="1"/>
      <c r="B66" s="10"/>
      <c r="C66" s="1"/>
      <c r="D66" s="1"/>
      <c r="E66" s="1"/>
      <c r="F66" s="1"/>
      <c r="G66" s="1"/>
      <c r="H66" s="1"/>
      <c r="I66" s="1"/>
    </row>
    <row r="67" spans="1:9" x14ac:dyDescent="0.15">
      <c r="A67" s="1"/>
      <c r="B67" s="10"/>
      <c r="C67" s="1"/>
      <c r="D67" s="1"/>
      <c r="E67" s="1"/>
      <c r="F67" s="1"/>
      <c r="G67" s="1"/>
      <c r="H67" s="1"/>
      <c r="I67" s="1"/>
    </row>
  </sheetData>
  <phoneticPr fontId="35" type="noConversion"/>
  <conditionalFormatting sqref="B1:B3 B5:B67">
    <cfRule type="duplicateValues" dxfId="1" priority="1"/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V67"/>
  <sheetViews>
    <sheetView workbookViewId="0"/>
  </sheetViews>
  <sheetFormatPr defaultColWidth="9" defaultRowHeight="13.5" x14ac:dyDescent="0.15"/>
  <cols>
    <col min="10" max="10" width="13.125" customWidth="1"/>
    <col min="11" max="11" width="14.5" style="1" customWidth="1"/>
    <col min="16" max="16" width="15.375" customWidth="1"/>
  </cols>
  <sheetData>
    <row r="1" spans="1:22" x14ac:dyDescent="0.15">
      <c r="A1" s="2" t="s">
        <v>38</v>
      </c>
      <c r="B1" s="3" t="s">
        <v>39</v>
      </c>
      <c r="C1" s="3" t="s">
        <v>39</v>
      </c>
      <c r="D1" s="3" t="s">
        <v>39</v>
      </c>
      <c r="E1" s="3" t="s">
        <v>39</v>
      </c>
      <c r="F1" s="3" t="s">
        <v>39</v>
      </c>
      <c r="G1" s="3" t="s">
        <v>39</v>
      </c>
      <c r="H1" s="3" t="s">
        <v>39</v>
      </c>
      <c r="I1" s="3" t="s">
        <v>39</v>
      </c>
      <c r="J1" s="3" t="s">
        <v>39</v>
      </c>
      <c r="K1" s="3" t="s">
        <v>39</v>
      </c>
      <c r="L1" s="3" t="s">
        <v>39</v>
      </c>
      <c r="M1" s="3" t="s">
        <v>39</v>
      </c>
      <c r="N1" s="3" t="s">
        <v>39</v>
      </c>
      <c r="O1" s="3" t="s">
        <v>39</v>
      </c>
      <c r="P1" s="3" t="s">
        <v>39</v>
      </c>
      <c r="Q1" s="3" t="s">
        <v>39</v>
      </c>
      <c r="R1" s="3" t="s">
        <v>39</v>
      </c>
      <c r="S1" s="3" t="s">
        <v>39</v>
      </c>
      <c r="T1" s="3" t="s">
        <v>39</v>
      </c>
      <c r="U1" s="3" t="s">
        <v>39</v>
      </c>
      <c r="V1" s="3" t="s">
        <v>39</v>
      </c>
    </row>
    <row r="2" spans="1:22" x14ac:dyDescent="0.15">
      <c r="A2" s="2" t="s">
        <v>40</v>
      </c>
      <c r="B2" s="3" t="s">
        <v>39</v>
      </c>
      <c r="C2" s="3" t="s">
        <v>39</v>
      </c>
      <c r="D2" s="3" t="s">
        <v>39</v>
      </c>
      <c r="E2" s="3" t="s">
        <v>39</v>
      </c>
      <c r="F2" s="3" t="s">
        <v>39</v>
      </c>
      <c r="G2" s="3" t="s">
        <v>39</v>
      </c>
      <c r="H2" s="3" t="s">
        <v>39</v>
      </c>
      <c r="I2" s="3" t="s">
        <v>39</v>
      </c>
      <c r="J2" s="3" t="s">
        <v>39</v>
      </c>
      <c r="K2" s="3" t="s">
        <v>39</v>
      </c>
      <c r="L2" s="3" t="s">
        <v>39</v>
      </c>
      <c r="M2" s="3" t="s">
        <v>39</v>
      </c>
      <c r="N2" s="3" t="s">
        <v>39</v>
      </c>
      <c r="O2" s="3" t="s">
        <v>39</v>
      </c>
      <c r="P2" s="3" t="s">
        <v>39</v>
      </c>
      <c r="Q2" s="3" t="s">
        <v>39</v>
      </c>
      <c r="R2" s="3" t="s">
        <v>39</v>
      </c>
      <c r="S2" s="3" t="s">
        <v>39</v>
      </c>
      <c r="T2" s="3" t="s">
        <v>39</v>
      </c>
      <c r="U2" s="3" t="s">
        <v>39</v>
      </c>
      <c r="V2" s="3" t="s">
        <v>39</v>
      </c>
    </row>
    <row r="3" spans="1:22" ht="14.25" x14ac:dyDescent="0.15">
      <c r="A3" s="4" t="s">
        <v>39</v>
      </c>
      <c r="B3" s="4" t="s">
        <v>41</v>
      </c>
      <c r="C3" s="5" t="s">
        <v>42</v>
      </c>
      <c r="D3" s="5" t="s">
        <v>42</v>
      </c>
      <c r="E3" s="5" t="s">
        <v>42</v>
      </c>
      <c r="F3" s="5" t="s">
        <v>42</v>
      </c>
      <c r="G3" s="5" t="s">
        <v>42</v>
      </c>
      <c r="H3" s="5" t="s">
        <v>42</v>
      </c>
      <c r="I3" s="5" t="s">
        <v>42</v>
      </c>
      <c r="J3" s="5" t="s">
        <v>41</v>
      </c>
      <c r="K3" s="5" t="s">
        <v>41</v>
      </c>
      <c r="L3" s="5" t="s">
        <v>41</v>
      </c>
      <c r="M3" s="5" t="s">
        <v>41</v>
      </c>
      <c r="N3" s="5" t="s">
        <v>41</v>
      </c>
      <c r="O3" s="5" t="s">
        <v>42</v>
      </c>
      <c r="P3" s="5" t="s">
        <v>41</v>
      </c>
      <c r="Q3" s="5" t="s">
        <v>41</v>
      </c>
      <c r="R3" s="5" t="s">
        <v>41</v>
      </c>
      <c r="S3" s="5" t="s">
        <v>42</v>
      </c>
      <c r="T3" s="5" t="s">
        <v>41</v>
      </c>
      <c r="U3" s="5" t="s">
        <v>981</v>
      </c>
      <c r="V3" s="5" t="s">
        <v>989</v>
      </c>
    </row>
    <row r="4" spans="1:22" ht="14.25" x14ac:dyDescent="0.15">
      <c r="A4" s="4"/>
      <c r="B4" s="4" t="s">
        <v>43</v>
      </c>
      <c r="C4" s="4" t="s">
        <v>188</v>
      </c>
      <c r="D4" s="4" t="s">
        <v>44</v>
      </c>
      <c r="E4" s="4" t="s">
        <v>189</v>
      </c>
      <c r="F4" s="4" t="s">
        <v>190</v>
      </c>
      <c r="G4" s="4" t="s">
        <v>191</v>
      </c>
      <c r="H4" s="4" t="s">
        <v>192</v>
      </c>
      <c r="I4" s="4" t="s">
        <v>193</v>
      </c>
      <c r="J4" s="5" t="s">
        <v>194</v>
      </c>
      <c r="K4" s="5" t="s">
        <v>195</v>
      </c>
      <c r="L4" s="5" t="s">
        <v>196</v>
      </c>
      <c r="M4" s="5" t="s">
        <v>197</v>
      </c>
      <c r="N4" s="5" t="s">
        <v>198</v>
      </c>
      <c r="O4" s="5" t="s">
        <v>199</v>
      </c>
      <c r="P4" s="5" t="s">
        <v>200</v>
      </c>
      <c r="Q4" s="5" t="s">
        <v>201</v>
      </c>
      <c r="R4" s="5" t="s">
        <v>202</v>
      </c>
      <c r="S4" s="5" t="s">
        <v>203</v>
      </c>
      <c r="T4" s="5" t="s">
        <v>204</v>
      </c>
      <c r="U4" s="5" t="s">
        <v>982</v>
      </c>
      <c r="V4" s="5" t="s">
        <v>990</v>
      </c>
    </row>
    <row r="5" spans="1:22" ht="14.25" x14ac:dyDescent="0.15">
      <c r="A5" s="4"/>
      <c r="B5" s="4" t="str">
        <f>IF(B3="","",IF(B3="INT","i",IF(B3="FLOAT","f",IF(B3="STRING","s"))))</f>
        <v>i</v>
      </c>
      <c r="C5" s="5" t="s">
        <v>68</v>
      </c>
      <c r="D5" s="5" t="s">
        <v>68</v>
      </c>
      <c r="E5" s="5" t="s">
        <v>68</v>
      </c>
      <c r="F5" s="5" t="s">
        <v>68</v>
      </c>
      <c r="G5" s="5" t="s">
        <v>68</v>
      </c>
      <c r="H5" s="5" t="s">
        <v>68</v>
      </c>
      <c r="I5" s="5" t="s">
        <v>68</v>
      </c>
      <c r="J5" s="5" t="s">
        <v>67</v>
      </c>
      <c r="K5" s="5" t="s">
        <v>67</v>
      </c>
      <c r="L5" s="5" t="s">
        <v>67</v>
      </c>
      <c r="M5" s="5" t="s">
        <v>67</v>
      </c>
      <c r="N5" s="5" t="s">
        <v>67</v>
      </c>
      <c r="O5" s="5" t="s">
        <v>68</v>
      </c>
      <c r="P5" s="5" t="s">
        <v>67</v>
      </c>
      <c r="Q5" s="5" t="s">
        <v>67</v>
      </c>
      <c r="R5" s="5" t="s">
        <v>67</v>
      </c>
      <c r="S5" s="5" t="s">
        <v>68</v>
      </c>
      <c r="T5" s="5" t="s">
        <v>67</v>
      </c>
      <c r="U5" s="5" t="s">
        <v>67</v>
      </c>
      <c r="V5" s="5" t="s">
        <v>67</v>
      </c>
    </row>
    <row r="6" spans="1:22" ht="14.25" x14ac:dyDescent="0.15">
      <c r="A6" s="4" t="s">
        <v>39</v>
      </c>
      <c r="B6" s="4" t="str">
        <f t="shared" ref="B6:E6" si="0">B5&amp;B4</f>
        <v>iID</v>
      </c>
      <c r="C6" s="5" t="str">
        <f t="shared" si="0"/>
        <v>sRoomID</v>
      </c>
      <c r="D6" s="5" t="str">
        <f t="shared" si="0"/>
        <v>sNotes</v>
      </c>
      <c r="E6" s="5" t="str">
        <f t="shared" si="0"/>
        <v>sAttributes</v>
      </c>
      <c r="F6" s="5" t="str">
        <f t="shared" ref="F6:Q6" si="1">F5&amp;F4</f>
        <v>sMapAttributes</v>
      </c>
      <c r="G6" s="5" t="str">
        <f t="shared" si="1"/>
        <v>sStandardDefence</v>
      </c>
      <c r="H6" s="5" t="str">
        <f t="shared" si="1"/>
        <v>sRoomIDs</v>
      </c>
      <c r="I6" s="5" t="str">
        <f t="shared" si="1"/>
        <v>sRoomIDs1</v>
      </c>
      <c r="J6" s="5" t="str">
        <f t="shared" si="1"/>
        <v>iCheatValue</v>
      </c>
      <c r="K6" s="5" t="str">
        <f t="shared" si="1"/>
        <v>iBattleValue</v>
      </c>
      <c r="L6" s="5" t="str">
        <f t="shared" si="1"/>
        <v>iGoldAdd</v>
      </c>
      <c r="M6" s="5" t="str">
        <f t="shared" si="1"/>
        <v>iExpAdd</v>
      </c>
      <c r="N6" s="5" t="str">
        <f t="shared" si="1"/>
        <v>iAwardHero</v>
      </c>
      <c r="O6" s="5" t="str">
        <f t="shared" si="1"/>
        <v>sOutPut</v>
      </c>
      <c r="P6" s="5" t="str">
        <f t="shared" si="1"/>
        <v>iDropCount</v>
      </c>
      <c r="Q6" s="5" t="str">
        <f t="shared" si="1"/>
        <v>iCatchTime</v>
      </c>
      <c r="R6" s="5" t="str">
        <f t="shared" ref="R6:S6" si="2">R5&amp;R4</f>
        <v>iCatchProb</v>
      </c>
      <c r="S6" s="5" t="str">
        <f t="shared" si="2"/>
        <v>sFirstOutPut</v>
      </c>
      <c r="T6" s="5" t="str">
        <f t="shared" ref="T6:V6" si="3">T5&amp;T4</f>
        <v>iFirstExpAdd</v>
      </c>
      <c r="U6" s="5" t="str">
        <f t="shared" si="3"/>
        <v>iFirstGoldAdd</v>
      </c>
      <c r="V6" s="5" t="str">
        <f t="shared" si="3"/>
        <v>iMonsLv</v>
      </c>
    </row>
    <row r="7" spans="1:22" ht="14.25" x14ac:dyDescent="0.15">
      <c r="A7" s="4"/>
      <c r="B7" s="4" t="s">
        <v>206</v>
      </c>
      <c r="C7" s="6"/>
      <c r="D7" s="6"/>
      <c r="E7" s="6"/>
      <c r="F7" s="6"/>
      <c r="G7" s="6"/>
      <c r="H7" s="6"/>
      <c r="I7" s="6"/>
      <c r="J7" s="6" t="s">
        <v>213</v>
      </c>
      <c r="K7" s="6" t="s">
        <v>214</v>
      </c>
      <c r="L7" s="6" t="s">
        <v>215</v>
      </c>
      <c r="M7" s="6" t="s">
        <v>216</v>
      </c>
      <c r="N7" s="6" t="s">
        <v>217</v>
      </c>
      <c r="O7" s="6" t="s">
        <v>218</v>
      </c>
      <c r="P7" s="6" t="s">
        <v>219</v>
      </c>
      <c r="Q7" s="6" t="s">
        <v>220</v>
      </c>
      <c r="R7" s="6" t="s">
        <v>221</v>
      </c>
      <c r="S7" s="6" t="s">
        <v>222</v>
      </c>
      <c r="T7" s="6" t="s">
        <v>223</v>
      </c>
      <c r="U7" s="6" t="s">
        <v>984</v>
      </c>
      <c r="V7" s="6" t="s">
        <v>991</v>
      </c>
    </row>
    <row r="8" spans="1:22" ht="14.25" x14ac:dyDescent="0.15">
      <c r="A8" s="4" t="s">
        <v>78</v>
      </c>
      <c r="B8" s="4">
        <v>0</v>
      </c>
      <c r="C8" s="6">
        <v>0</v>
      </c>
      <c r="D8" s="6"/>
      <c r="E8" s="6"/>
      <c r="F8" s="6"/>
      <c r="G8" s="6"/>
      <c r="H8" s="6"/>
      <c r="I8" s="6"/>
      <c r="J8" s="6">
        <v>10000</v>
      </c>
      <c r="K8" s="6">
        <v>10000</v>
      </c>
      <c r="L8" s="6">
        <v>0</v>
      </c>
      <c r="M8" s="6">
        <v>0</v>
      </c>
      <c r="N8" s="6"/>
      <c r="O8" s="6"/>
      <c r="P8" s="6">
        <v>0</v>
      </c>
      <c r="Q8" s="6">
        <v>0</v>
      </c>
      <c r="R8" s="6">
        <v>0</v>
      </c>
      <c r="S8" s="6"/>
      <c r="T8" s="6">
        <v>0</v>
      </c>
      <c r="U8" s="6">
        <v>0</v>
      </c>
      <c r="V8" s="6">
        <v>1</v>
      </c>
    </row>
    <row r="9" spans="1:22" ht="14.25" x14ac:dyDescent="0.15">
      <c r="A9" s="7"/>
      <c r="B9" s="7"/>
      <c r="C9" s="8"/>
      <c r="D9" s="8"/>
      <c r="E9" s="9"/>
      <c r="F9" s="8"/>
      <c r="G9" s="8"/>
      <c r="H9" s="8"/>
      <c r="I9" s="8"/>
      <c r="J9" s="8" t="s">
        <v>224</v>
      </c>
      <c r="K9" s="8" t="s">
        <v>224</v>
      </c>
      <c r="L9" s="8"/>
      <c r="M9" s="8"/>
      <c r="N9" s="8"/>
      <c r="O9" s="8" t="s">
        <v>225</v>
      </c>
      <c r="Q9" s="8" t="s">
        <v>284</v>
      </c>
      <c r="R9" s="8" t="s">
        <v>227</v>
      </c>
      <c r="S9" s="8" t="s">
        <v>225</v>
      </c>
      <c r="T9" s="8"/>
    </row>
    <row r="10" spans="1:22" ht="108" x14ac:dyDescent="0.15">
      <c r="A10" s="1" t="s">
        <v>39</v>
      </c>
      <c r="B10" s="10">
        <v>1</v>
      </c>
      <c r="C10" s="11" t="s">
        <v>844</v>
      </c>
      <c r="D10" s="12"/>
      <c r="E10" s="11" t="s">
        <v>845</v>
      </c>
      <c r="F10" s="11" t="s">
        <v>846</v>
      </c>
      <c r="G10" s="11" t="s">
        <v>86</v>
      </c>
      <c r="H10" s="11" t="s">
        <v>295</v>
      </c>
      <c r="I10" s="12"/>
    </row>
    <row r="11" spans="1:22" ht="108" x14ac:dyDescent="0.15">
      <c r="A11" s="1" t="s">
        <v>39</v>
      </c>
      <c r="B11" s="10">
        <v>2</v>
      </c>
      <c r="C11" s="11" t="s">
        <v>847</v>
      </c>
      <c r="D11" s="12"/>
      <c r="E11" s="11" t="s">
        <v>848</v>
      </c>
      <c r="F11" s="11" t="s">
        <v>846</v>
      </c>
      <c r="G11" s="11" t="s">
        <v>86</v>
      </c>
      <c r="H11" s="11" t="s">
        <v>295</v>
      </c>
      <c r="I11" s="12"/>
    </row>
    <row r="12" spans="1:22" ht="108" x14ac:dyDescent="0.15">
      <c r="A12" s="1" t="s">
        <v>39</v>
      </c>
      <c r="B12" s="10">
        <v>3</v>
      </c>
      <c r="C12" s="11" t="s">
        <v>849</v>
      </c>
      <c r="D12" s="12"/>
      <c r="E12" s="11" t="s">
        <v>850</v>
      </c>
      <c r="F12" s="11" t="s">
        <v>846</v>
      </c>
      <c r="G12" s="11" t="s">
        <v>86</v>
      </c>
      <c r="H12" s="11" t="s">
        <v>295</v>
      </c>
      <c r="I12" s="12"/>
    </row>
    <row r="13" spans="1:22" ht="108" x14ac:dyDescent="0.15">
      <c r="A13" s="1" t="s">
        <v>39</v>
      </c>
      <c r="B13" s="10">
        <v>4</v>
      </c>
      <c r="C13" s="11" t="s">
        <v>851</v>
      </c>
      <c r="D13" s="12"/>
      <c r="E13" s="11" t="s">
        <v>852</v>
      </c>
      <c r="F13" s="11" t="s">
        <v>853</v>
      </c>
      <c r="G13" s="11" t="s">
        <v>86</v>
      </c>
      <c r="H13" s="11" t="s">
        <v>854</v>
      </c>
      <c r="I13" s="12"/>
    </row>
    <row r="14" spans="1:22" ht="108" x14ac:dyDescent="0.15">
      <c r="A14" s="1" t="s">
        <v>39</v>
      </c>
      <c r="B14" s="10">
        <v>5</v>
      </c>
      <c r="C14" s="11" t="s">
        <v>855</v>
      </c>
      <c r="D14" s="12"/>
      <c r="E14" s="11" t="s">
        <v>856</v>
      </c>
      <c r="F14" s="11" t="s">
        <v>853</v>
      </c>
      <c r="G14" s="11" t="s">
        <v>86</v>
      </c>
      <c r="H14" s="11" t="s">
        <v>854</v>
      </c>
      <c r="I14" s="12"/>
    </row>
    <row r="15" spans="1:22" ht="108" x14ac:dyDescent="0.15">
      <c r="A15" s="1" t="s">
        <v>39</v>
      </c>
      <c r="B15" s="10">
        <v>6</v>
      </c>
      <c r="C15" s="11" t="s">
        <v>857</v>
      </c>
      <c r="D15" s="12"/>
      <c r="E15" s="11" t="s">
        <v>858</v>
      </c>
      <c r="F15" s="11" t="s">
        <v>853</v>
      </c>
      <c r="G15" s="11" t="s">
        <v>86</v>
      </c>
      <c r="H15" s="11" t="s">
        <v>854</v>
      </c>
      <c r="I15" s="12"/>
    </row>
    <row r="16" spans="1:22" ht="108" x14ac:dyDescent="0.15">
      <c r="A16" s="1" t="s">
        <v>39</v>
      </c>
      <c r="B16" s="10">
        <v>7</v>
      </c>
      <c r="C16" s="11" t="s">
        <v>859</v>
      </c>
      <c r="D16" s="12"/>
      <c r="E16" s="11" t="s">
        <v>860</v>
      </c>
      <c r="F16" s="11" t="s">
        <v>861</v>
      </c>
      <c r="G16" s="11" t="s">
        <v>86</v>
      </c>
      <c r="H16" s="11" t="s">
        <v>862</v>
      </c>
      <c r="I16" s="12"/>
    </row>
    <row r="17" spans="1:9" ht="108" x14ac:dyDescent="0.15">
      <c r="A17" s="1" t="s">
        <v>39</v>
      </c>
      <c r="B17" s="10">
        <v>8</v>
      </c>
      <c r="C17" s="11" t="s">
        <v>863</v>
      </c>
      <c r="D17" s="12"/>
      <c r="E17" s="11" t="s">
        <v>864</v>
      </c>
      <c r="F17" s="11" t="s">
        <v>861</v>
      </c>
      <c r="G17" s="11" t="s">
        <v>86</v>
      </c>
      <c r="H17" s="11" t="s">
        <v>862</v>
      </c>
      <c r="I17" s="12"/>
    </row>
    <row r="18" spans="1:9" ht="108" x14ac:dyDescent="0.15">
      <c r="A18" s="1" t="s">
        <v>39</v>
      </c>
      <c r="B18" s="10">
        <v>9</v>
      </c>
      <c r="C18" s="11" t="s">
        <v>865</v>
      </c>
      <c r="D18" s="12"/>
      <c r="E18" s="11" t="s">
        <v>866</v>
      </c>
      <c r="F18" s="11" t="s">
        <v>861</v>
      </c>
      <c r="G18" s="11" t="s">
        <v>86</v>
      </c>
      <c r="H18" s="11" t="s">
        <v>862</v>
      </c>
      <c r="I18" s="12"/>
    </row>
    <row r="19" spans="1:9" ht="108" x14ac:dyDescent="0.15">
      <c r="A19" s="1" t="s">
        <v>39</v>
      </c>
      <c r="B19" s="10">
        <v>10</v>
      </c>
      <c r="C19" s="11" t="s">
        <v>867</v>
      </c>
      <c r="D19" s="12"/>
      <c r="E19" s="11" t="s">
        <v>868</v>
      </c>
      <c r="F19" s="11" t="s">
        <v>861</v>
      </c>
      <c r="G19" s="11" t="s">
        <v>86</v>
      </c>
      <c r="H19" s="11" t="s">
        <v>869</v>
      </c>
      <c r="I19" s="12"/>
    </row>
    <row r="20" spans="1:9" x14ac:dyDescent="0.15">
      <c r="A20" s="1"/>
      <c r="B20" s="10"/>
    </row>
    <row r="21" spans="1:9" x14ac:dyDescent="0.15">
      <c r="A21" s="1"/>
      <c r="B21" s="10"/>
      <c r="C21" s="11"/>
      <c r="D21" s="12"/>
      <c r="E21" s="11"/>
      <c r="F21" s="11"/>
      <c r="G21" s="11"/>
      <c r="H21" s="11"/>
      <c r="I21" s="11"/>
    </row>
    <row r="22" spans="1:9" x14ac:dyDescent="0.15">
      <c r="A22" s="1"/>
      <c r="B22" s="10"/>
      <c r="C22" s="11"/>
      <c r="D22" s="12"/>
      <c r="E22" s="11"/>
      <c r="F22" s="11"/>
      <c r="G22" s="11"/>
      <c r="H22" s="11"/>
      <c r="I22" s="11"/>
    </row>
    <row r="23" spans="1:9" x14ac:dyDescent="0.15">
      <c r="A23" s="1"/>
      <c r="B23" s="10"/>
      <c r="C23" s="11"/>
      <c r="D23" s="12"/>
      <c r="E23" s="11"/>
      <c r="F23" s="11"/>
      <c r="G23" s="11"/>
      <c r="H23" s="11"/>
      <c r="I23" s="12"/>
    </row>
    <row r="24" spans="1:9" x14ac:dyDescent="0.15">
      <c r="A24" s="1"/>
      <c r="B24" s="10"/>
      <c r="C24" s="11"/>
      <c r="D24" s="12"/>
      <c r="E24" s="11"/>
      <c r="F24" s="11"/>
      <c r="G24" s="11"/>
      <c r="H24" s="11"/>
      <c r="I24" s="12"/>
    </row>
    <row r="25" spans="1:9" x14ac:dyDescent="0.15">
      <c r="A25" s="1"/>
      <c r="B25" s="10"/>
      <c r="C25" s="11"/>
      <c r="D25" s="12"/>
      <c r="E25" s="11"/>
      <c r="F25" s="11"/>
      <c r="G25" s="11"/>
      <c r="H25" s="11"/>
      <c r="I25" s="11"/>
    </row>
    <row r="26" spans="1:9" x14ac:dyDescent="0.15">
      <c r="A26" s="1"/>
      <c r="B26" s="10"/>
      <c r="C26" s="11"/>
      <c r="D26" s="12"/>
      <c r="E26" s="11"/>
      <c r="F26" s="11"/>
      <c r="G26" s="11"/>
      <c r="H26" s="11"/>
      <c r="I26" s="12"/>
    </row>
    <row r="27" spans="1:9" x14ac:dyDescent="0.15">
      <c r="A27" s="1"/>
      <c r="B27" s="10"/>
      <c r="C27" s="11"/>
      <c r="D27" s="12"/>
      <c r="E27" s="11"/>
      <c r="F27" s="11"/>
      <c r="G27" s="11"/>
      <c r="H27" s="11"/>
      <c r="I27" s="12"/>
    </row>
    <row r="28" spans="1:9" x14ac:dyDescent="0.15">
      <c r="A28" s="1"/>
      <c r="B28" s="10"/>
      <c r="C28" s="11"/>
      <c r="D28" s="12"/>
      <c r="E28" s="11"/>
      <c r="F28" s="11"/>
      <c r="G28" s="11"/>
      <c r="H28" s="11"/>
      <c r="I28" s="12"/>
    </row>
    <row r="29" spans="1:9" x14ac:dyDescent="0.15">
      <c r="A29" s="1"/>
      <c r="B29" s="10"/>
      <c r="C29" s="11"/>
      <c r="D29" s="12"/>
      <c r="E29" s="11"/>
      <c r="F29" s="11"/>
      <c r="G29" s="11"/>
      <c r="H29" s="11"/>
      <c r="I29" s="12"/>
    </row>
    <row r="30" spans="1:9" x14ac:dyDescent="0.15">
      <c r="A30" s="1"/>
      <c r="B30" s="10"/>
      <c r="C30" s="11"/>
      <c r="D30" s="12"/>
      <c r="E30" s="11"/>
      <c r="F30" s="11"/>
      <c r="G30" s="11"/>
      <c r="H30" s="11"/>
      <c r="I30" s="11"/>
    </row>
    <row r="31" spans="1:9" x14ac:dyDescent="0.15">
      <c r="A31" s="1"/>
      <c r="B31" s="10"/>
      <c r="C31" s="11"/>
      <c r="D31" s="12"/>
      <c r="E31" s="11"/>
      <c r="F31" s="11"/>
      <c r="G31" s="11"/>
      <c r="H31" s="11"/>
      <c r="I31" s="12"/>
    </row>
    <row r="32" spans="1:9" x14ac:dyDescent="0.15">
      <c r="A32" s="1"/>
      <c r="B32" s="10"/>
      <c r="C32" s="11"/>
      <c r="D32" s="12"/>
      <c r="E32" s="11"/>
      <c r="F32" s="11"/>
      <c r="G32" s="11"/>
      <c r="H32" s="11"/>
      <c r="I32" s="11"/>
    </row>
    <row r="33" spans="1:9" x14ac:dyDescent="0.15">
      <c r="A33" s="1"/>
      <c r="B33" s="10"/>
      <c r="C33" s="11"/>
      <c r="D33" s="12"/>
      <c r="E33" s="11"/>
      <c r="F33" s="11"/>
      <c r="G33" s="11"/>
      <c r="H33" s="11"/>
      <c r="I33" s="12"/>
    </row>
    <row r="34" spans="1:9" x14ac:dyDescent="0.15">
      <c r="A34" s="1"/>
      <c r="B34" s="10"/>
      <c r="C34" s="11"/>
      <c r="D34" s="12"/>
      <c r="E34" s="11"/>
      <c r="F34" s="11"/>
      <c r="G34" s="11"/>
      <c r="H34" s="11"/>
      <c r="I34" s="12"/>
    </row>
    <row r="35" spans="1:9" x14ac:dyDescent="0.15">
      <c r="A35" s="1"/>
      <c r="B35" s="10"/>
      <c r="C35" s="11"/>
      <c r="D35" s="12"/>
      <c r="E35" s="11"/>
      <c r="F35" s="11"/>
      <c r="G35" s="11"/>
      <c r="H35" s="11"/>
      <c r="I35" s="12"/>
    </row>
    <row r="36" spans="1:9" x14ac:dyDescent="0.15">
      <c r="A36" s="1"/>
      <c r="B36" s="10"/>
      <c r="C36" s="11"/>
      <c r="D36" s="12"/>
      <c r="E36" s="11"/>
      <c r="F36" s="11"/>
      <c r="G36" s="11"/>
      <c r="H36" s="11"/>
      <c r="I36" s="12"/>
    </row>
    <row r="37" spans="1:9" x14ac:dyDescent="0.15">
      <c r="A37" s="1"/>
      <c r="B37" s="10"/>
      <c r="C37" s="11"/>
      <c r="D37" s="12"/>
      <c r="E37" s="11"/>
      <c r="F37" s="11"/>
      <c r="G37" s="11"/>
      <c r="H37" s="11"/>
      <c r="I37" s="12"/>
    </row>
    <row r="38" spans="1:9" x14ac:dyDescent="0.15">
      <c r="A38" s="1"/>
      <c r="B38" s="10"/>
      <c r="C38" s="11"/>
      <c r="D38" s="12"/>
      <c r="E38" s="11"/>
      <c r="F38" s="11"/>
      <c r="G38" s="11"/>
      <c r="H38" s="11"/>
      <c r="I38" s="12"/>
    </row>
    <row r="39" spans="1:9" x14ac:dyDescent="0.15">
      <c r="A39" s="1"/>
      <c r="B39" s="10"/>
      <c r="C39" s="11"/>
      <c r="D39" s="12"/>
      <c r="E39" s="11"/>
      <c r="F39" s="11"/>
      <c r="G39" s="11"/>
      <c r="H39" s="11"/>
      <c r="I39" s="12"/>
    </row>
    <row r="40" spans="1:9" x14ac:dyDescent="0.15">
      <c r="A40" s="1"/>
      <c r="B40" s="10"/>
      <c r="C40" s="11"/>
      <c r="D40" s="12"/>
      <c r="E40" s="11"/>
      <c r="F40" s="11"/>
      <c r="G40" s="11"/>
      <c r="H40" s="11"/>
      <c r="I40" s="12"/>
    </row>
    <row r="41" spans="1:9" x14ac:dyDescent="0.15">
      <c r="A41" s="1"/>
      <c r="B41" s="10"/>
      <c r="C41" s="11"/>
      <c r="D41" s="12"/>
      <c r="E41" s="11"/>
      <c r="F41" s="11"/>
      <c r="G41" s="11"/>
      <c r="H41" s="11"/>
      <c r="I41" s="12"/>
    </row>
    <row r="42" spans="1:9" x14ac:dyDescent="0.15">
      <c r="A42" s="1"/>
      <c r="B42" s="10"/>
      <c r="C42" s="11"/>
      <c r="D42" s="12"/>
      <c r="E42" s="11"/>
      <c r="F42" s="11"/>
      <c r="G42" s="11"/>
      <c r="H42" s="11"/>
      <c r="I42" s="12"/>
    </row>
    <row r="43" spans="1:9" x14ac:dyDescent="0.15">
      <c r="A43" s="1"/>
      <c r="B43" s="10"/>
      <c r="C43" s="11"/>
      <c r="D43" s="12"/>
      <c r="E43" s="11"/>
      <c r="F43" s="11"/>
      <c r="G43" s="11"/>
      <c r="H43" s="11"/>
      <c r="I43" s="12"/>
    </row>
    <row r="44" spans="1:9" x14ac:dyDescent="0.15">
      <c r="A44" s="1"/>
      <c r="B44" s="10"/>
      <c r="C44" s="11"/>
      <c r="D44" s="12"/>
      <c r="E44" s="11"/>
      <c r="F44" s="11"/>
      <c r="G44" s="11"/>
      <c r="H44" s="11"/>
      <c r="I44" s="12"/>
    </row>
    <row r="45" spans="1:9" x14ac:dyDescent="0.15">
      <c r="A45" s="1"/>
      <c r="B45" s="10"/>
      <c r="C45" s="11"/>
      <c r="D45" s="12"/>
      <c r="E45" s="11"/>
      <c r="F45" s="11"/>
      <c r="G45" s="11"/>
      <c r="H45" s="11"/>
      <c r="I45" s="12"/>
    </row>
    <row r="46" spans="1:9" x14ac:dyDescent="0.15">
      <c r="A46" s="1"/>
      <c r="B46" s="10"/>
      <c r="C46" s="11"/>
      <c r="D46" s="12"/>
      <c r="E46" s="11"/>
      <c r="F46" s="11"/>
      <c r="G46" s="11"/>
      <c r="H46" s="11"/>
      <c r="I46" s="12"/>
    </row>
    <row r="47" spans="1:9" x14ac:dyDescent="0.15">
      <c r="A47" s="1"/>
      <c r="B47" s="10"/>
      <c r="C47" s="11"/>
      <c r="D47" s="12"/>
      <c r="E47" s="11"/>
      <c r="F47" s="11"/>
      <c r="G47" s="11"/>
      <c r="H47" s="11"/>
      <c r="I47" s="12"/>
    </row>
    <row r="48" spans="1:9" x14ac:dyDescent="0.15">
      <c r="A48" s="1"/>
      <c r="B48" s="10"/>
      <c r="C48" s="11"/>
      <c r="D48" s="12"/>
      <c r="E48" s="11"/>
      <c r="F48" s="11"/>
      <c r="G48" s="11"/>
      <c r="H48" s="11"/>
      <c r="I48" s="12"/>
    </row>
    <row r="49" spans="1:9" x14ac:dyDescent="0.15">
      <c r="A49" s="1"/>
      <c r="B49" s="10"/>
      <c r="C49" s="11"/>
      <c r="D49" s="12"/>
      <c r="E49" s="11"/>
      <c r="F49" s="11"/>
      <c r="G49" s="11"/>
      <c r="H49" s="11"/>
      <c r="I49" s="12"/>
    </row>
    <row r="50" spans="1:9" x14ac:dyDescent="0.15">
      <c r="A50" s="1"/>
      <c r="B50" s="10"/>
      <c r="C50" s="11"/>
      <c r="D50" s="12"/>
      <c r="E50" s="11"/>
      <c r="F50" s="11"/>
      <c r="G50" s="11"/>
      <c r="H50" s="11"/>
      <c r="I50" s="12"/>
    </row>
    <row r="51" spans="1:9" x14ac:dyDescent="0.15">
      <c r="A51" s="1"/>
      <c r="B51" s="10"/>
      <c r="C51" s="11"/>
      <c r="D51" s="12"/>
      <c r="E51" s="11"/>
      <c r="F51" s="11"/>
      <c r="G51" s="11"/>
      <c r="H51" s="11"/>
      <c r="I51" s="12"/>
    </row>
    <row r="52" spans="1:9" x14ac:dyDescent="0.15">
      <c r="A52" s="1"/>
      <c r="B52" s="10"/>
      <c r="C52" s="11"/>
      <c r="D52" s="12"/>
      <c r="E52" s="11"/>
      <c r="F52" s="11"/>
      <c r="G52" s="11"/>
      <c r="H52" s="11"/>
      <c r="I52" s="12"/>
    </row>
    <row r="53" spans="1:9" x14ac:dyDescent="0.15">
      <c r="A53" s="1"/>
      <c r="B53" s="10"/>
      <c r="C53" s="11"/>
      <c r="D53" s="12"/>
      <c r="E53" s="11"/>
      <c r="F53" s="11"/>
      <c r="G53" s="11"/>
      <c r="H53" s="11"/>
      <c r="I53" s="12"/>
    </row>
    <row r="54" spans="1:9" x14ac:dyDescent="0.15">
      <c r="A54" s="1"/>
      <c r="B54" s="10"/>
      <c r="C54" s="11"/>
      <c r="D54" s="12"/>
      <c r="E54" s="11"/>
      <c r="F54" s="11"/>
      <c r="G54" s="11"/>
      <c r="H54" s="11"/>
      <c r="I54" s="12"/>
    </row>
    <row r="55" spans="1:9" x14ac:dyDescent="0.15">
      <c r="A55" s="1"/>
      <c r="B55" s="10"/>
      <c r="C55" s="11"/>
      <c r="D55" s="12"/>
      <c r="E55" s="11"/>
      <c r="F55" s="11"/>
      <c r="G55" s="11"/>
      <c r="H55" s="11"/>
      <c r="I55" s="12"/>
    </row>
    <row r="56" spans="1:9" x14ac:dyDescent="0.15">
      <c r="A56" s="1"/>
      <c r="B56" s="10"/>
      <c r="C56" s="11"/>
      <c r="D56" s="12"/>
      <c r="E56" s="11"/>
      <c r="F56" s="11"/>
      <c r="G56" s="11"/>
      <c r="H56" s="11"/>
      <c r="I56" s="12"/>
    </row>
    <row r="57" spans="1:9" x14ac:dyDescent="0.15">
      <c r="A57" s="1"/>
      <c r="B57" s="10"/>
      <c r="C57" s="11"/>
      <c r="D57" s="12"/>
      <c r="E57" s="11"/>
      <c r="F57" s="11"/>
      <c r="G57" s="11"/>
      <c r="H57" s="11"/>
      <c r="I57" s="12"/>
    </row>
    <row r="58" spans="1:9" x14ac:dyDescent="0.15">
      <c r="A58" s="1"/>
      <c r="B58" s="10"/>
      <c r="C58" s="11"/>
      <c r="D58" s="12"/>
      <c r="E58" s="11"/>
      <c r="F58" s="11"/>
      <c r="G58" s="11"/>
      <c r="H58" s="11"/>
      <c r="I58" s="12"/>
    </row>
    <row r="59" spans="1:9" x14ac:dyDescent="0.15">
      <c r="A59" s="1"/>
      <c r="B59" s="10"/>
      <c r="C59" s="11"/>
      <c r="D59" s="12"/>
      <c r="E59" s="11"/>
      <c r="F59" s="11"/>
      <c r="G59" s="11"/>
      <c r="H59" s="11"/>
      <c r="I59" s="12"/>
    </row>
    <row r="60" spans="1:9" x14ac:dyDescent="0.15">
      <c r="A60" s="1"/>
      <c r="B60" s="10"/>
      <c r="C60" s="1"/>
      <c r="D60" s="1"/>
      <c r="E60" s="1"/>
      <c r="F60" s="1"/>
      <c r="G60" s="1"/>
      <c r="H60" s="1"/>
      <c r="I60" s="1"/>
    </row>
    <row r="61" spans="1:9" x14ac:dyDescent="0.15">
      <c r="A61" s="1"/>
      <c r="B61" s="10"/>
      <c r="C61" s="1"/>
      <c r="D61" s="1"/>
      <c r="E61" s="1"/>
      <c r="F61" s="1"/>
      <c r="G61" s="1"/>
      <c r="H61" s="1"/>
      <c r="I61" s="1"/>
    </row>
    <row r="62" spans="1:9" x14ac:dyDescent="0.15">
      <c r="A62" s="1"/>
      <c r="B62" s="10"/>
      <c r="C62" s="1"/>
      <c r="D62" s="1"/>
      <c r="E62" s="1"/>
      <c r="F62" s="1"/>
      <c r="G62" s="1"/>
      <c r="H62" s="1"/>
      <c r="I62" s="1"/>
    </row>
    <row r="63" spans="1:9" x14ac:dyDescent="0.15">
      <c r="A63" s="1"/>
      <c r="B63" s="10"/>
      <c r="C63" s="1"/>
      <c r="D63" s="1"/>
      <c r="E63" s="1"/>
      <c r="F63" s="1"/>
      <c r="G63" s="1"/>
      <c r="H63" s="1"/>
      <c r="I63" s="1"/>
    </row>
    <row r="64" spans="1:9" x14ac:dyDescent="0.15">
      <c r="A64" s="1"/>
      <c r="B64" s="10"/>
      <c r="C64" s="1"/>
      <c r="D64" s="1"/>
      <c r="E64" s="1"/>
      <c r="F64" s="1"/>
      <c r="G64" s="1"/>
      <c r="H64" s="1"/>
      <c r="I64" s="1"/>
    </row>
    <row r="65" spans="1:9" x14ac:dyDescent="0.15">
      <c r="A65" s="1"/>
      <c r="B65" s="10"/>
      <c r="C65" s="1"/>
      <c r="D65" s="1"/>
      <c r="E65" s="1"/>
      <c r="F65" s="1"/>
      <c r="G65" s="1"/>
      <c r="H65" s="1"/>
      <c r="I65" s="1"/>
    </row>
    <row r="66" spans="1:9" x14ac:dyDescent="0.15">
      <c r="A66" s="1"/>
      <c r="B66" s="10"/>
      <c r="C66" s="1"/>
      <c r="D66" s="1"/>
      <c r="E66" s="1"/>
      <c r="F66" s="1"/>
      <c r="G66" s="1"/>
      <c r="H66" s="1"/>
      <c r="I66" s="1"/>
    </row>
    <row r="67" spans="1:9" x14ac:dyDescent="0.15">
      <c r="A67" s="1"/>
      <c r="B67" s="10"/>
      <c r="C67" s="1"/>
      <c r="D67" s="1"/>
      <c r="E67" s="1"/>
      <c r="F67" s="1"/>
      <c r="G67" s="1"/>
      <c r="H67" s="1"/>
      <c r="I67" s="1"/>
    </row>
  </sheetData>
  <phoneticPr fontId="35" type="noConversion"/>
  <conditionalFormatting sqref="B1:B3 B5:B67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15</vt:i4>
      </vt:variant>
    </vt:vector>
  </HeadingPairs>
  <TitlesOfParts>
    <vt:vector size="15" baseType="lpstr">
      <vt:lpstr>INDEX</vt:lpstr>
      <vt:lpstr>Stage_Level_stagechapter</vt:lpstr>
      <vt:lpstr>Stage_Level_chapter1</vt:lpstr>
      <vt:lpstr>Stage_Level_chapter2</vt:lpstr>
      <vt:lpstr>Stage_Level_chapter3</vt:lpstr>
      <vt:lpstr>Stage_Level_chapter4</vt:lpstr>
      <vt:lpstr>Stage_Level_chapter5</vt:lpstr>
      <vt:lpstr>Stage_Level_chapter6</vt:lpstr>
      <vt:lpstr>Stage_Level_chapter7</vt:lpstr>
      <vt:lpstr>Stage_Level_chapter8</vt:lpstr>
      <vt:lpstr>Stage_Level_chapter9</vt:lpstr>
      <vt:lpstr>Stage_Level_chapter10</vt:lpstr>
      <vt:lpstr>Stage_Level_chapter11</vt:lpstr>
      <vt:lpstr>Stage_Level_chapter12</vt:lpstr>
      <vt:lpstr>Stage_Level_chapter13</vt:lpstr>
    </vt:vector>
  </TitlesOfParts>
  <Company>微软中国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微软用户</dc:creator>
  <cp:lastModifiedBy>a'a</cp:lastModifiedBy>
  <dcterms:created xsi:type="dcterms:W3CDTF">2015-12-31T17:39:00Z</dcterms:created>
  <dcterms:modified xsi:type="dcterms:W3CDTF">2020-03-02T03:57:55Z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2052-11.1.0.9098</vt:lpwstr>
  </property>
</Properties>
</file>